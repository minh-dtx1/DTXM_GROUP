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huyenToaDo_VN2000_Sang_CAD" sheetId="1" state="visible" r:id="rId1"/>
    <sheet xmlns:r="http://schemas.openxmlformats.org/officeDocument/2006/relationships" name="2_TinhDuongCongTron_CamC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b val="1"/>
      <color rgb="000000CC"/>
      <sz val="11"/>
    </font>
    <font>
      <name val="Consolas"/>
      <color rgb="001F4E79"/>
      <sz val="10"/>
    </font>
    <font>
      <name val="Times New Roman"/>
      <b val="1"/>
      <color rgb="00990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right" vertical="center" wrapText="1"/>
    </xf>
    <xf numFmtId="2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2" fontId="5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14" customWidth="1" min="5" max="5"/>
    <col width="24" customWidth="1" min="6" max="6"/>
    <col width="34" customWidth="1" min="7" max="7"/>
    <col width="38" customWidth="1" min="8" max="8"/>
  </cols>
  <sheetData>
    <row r="1">
      <c r="A1" s="1" t="inlineStr">
        <is>
          <t>CÔNG CỤ CHUYỂN ĐỔI TỌA ĐỘ TRẮC ĐỊA VN-2000 (X_BẮC, Y_ĐÔNG) SANG LỆNH VẼ AUTOCAD</t>
        </is>
      </c>
    </row>
    <row r="3">
      <c r="A3" s="2" t="inlineStr">
        <is>
          <t>STT</t>
        </is>
      </c>
      <c r="B3" s="2" t="inlineStr">
        <is>
          <t>Tên Điểm / Cọc</t>
        </is>
      </c>
      <c r="C3" s="2" t="inlineStr">
        <is>
          <t>X Trắc Địa - Bắc (m)</t>
        </is>
      </c>
      <c r="D3" s="2" t="inlineStr">
        <is>
          <t>Y Trắc Địa - Đông (m)</t>
        </is>
      </c>
      <c r="E3" s="2" t="inlineStr">
        <is>
          <t>Cao độ Z (m)</t>
        </is>
      </c>
      <c r="F3" s="2" t="inlineStr">
        <is>
          <t>Tọa độ AutoCAD (X_CAD,Y_CAD,Z)</t>
        </is>
      </c>
      <c r="G3" s="2" t="inlineStr">
        <is>
          <t>Lệnh vẽ Point &amp; Text tên cọc (Copy dán vào CAD)</t>
        </is>
      </c>
      <c r="H3" s="2" t="inlineStr">
        <is>
          <t>Lệnh nối Polyline tim tuyến</t>
        </is>
      </c>
    </row>
    <row r="4">
      <c r="A4" s="3" t="n">
        <v>1</v>
      </c>
      <c r="B4" s="4" t="inlineStr">
        <is>
          <t>KM0+000</t>
        </is>
      </c>
      <c r="C4" s="5" t="n">
        <v>2325410.125</v>
      </c>
      <c r="D4" s="5" t="n">
        <v>584120.34</v>
      </c>
      <c r="E4" s="6" t="n">
        <v>12.45</v>
      </c>
      <c r="F4" s="7">
        <f>TEXT(D4,"0.000")&amp;","&amp;TEXT(C4,"0.000")&amp;","&amp;TEXT(E4,"0.00")</f>
        <v/>
      </c>
      <c r="G4" s="8">
        <f>"_POINT "&amp;F4&amp;" -TEXT "&amp;TEXT(D4+1.5,"0.000")&amp;","&amp;TEXT(C4+1.5,"0.000")&amp;" 2.0 0 "&amp;B4</f>
        <v/>
      </c>
      <c r="H4" s="8">
        <f>IF(A4=1,"_PLINE "&amp;TEXT(D4,"0.000")&amp;","&amp;TEXT(C4,"0.000"),TEXT(D4,"0.000")&amp;","&amp;TEXT(C4,"0.000"))</f>
        <v/>
      </c>
    </row>
    <row r="5">
      <c r="A5" s="3" t="n">
        <v>2</v>
      </c>
      <c r="B5" s="4" t="inlineStr">
        <is>
          <t>H1</t>
        </is>
      </c>
      <c r="C5" s="5" t="n">
        <v>2325510.125</v>
      </c>
      <c r="D5" s="5" t="n">
        <v>584120.34</v>
      </c>
      <c r="E5" s="6" t="n">
        <v>12.6</v>
      </c>
      <c r="F5" s="7">
        <f>TEXT(D5,"0.000")&amp;","&amp;TEXT(C5,"0.000")&amp;","&amp;TEXT(E5,"0.00")</f>
        <v/>
      </c>
      <c r="G5" s="8">
        <f>"_POINT "&amp;F5&amp;" -TEXT "&amp;TEXT(D5+1.5,"0.000")&amp;","&amp;TEXT(C5+1.5,"0.000")&amp;" 2.0 0 "&amp;B5</f>
        <v/>
      </c>
      <c r="H5" s="8">
        <f>IF(A5=1,"_PLINE "&amp;TEXT(D5,"0.000")&amp;","&amp;TEXT(C5,"0.000"),TEXT(D5,"0.000")&amp;","&amp;TEXT(C5,"0.000"))</f>
        <v/>
      </c>
    </row>
    <row r="6">
      <c r="A6" s="3" t="n">
        <v>3</v>
      </c>
      <c r="B6" s="4" t="inlineStr">
        <is>
          <t>H2</t>
        </is>
      </c>
      <c r="C6" s="5" t="n">
        <v>2325610.125</v>
      </c>
      <c r="D6" s="5" t="n">
        <v>584125.8</v>
      </c>
      <c r="E6" s="6" t="n">
        <v>12.85</v>
      </c>
      <c r="F6" s="7">
        <f>TEXT(D6,"0.000")&amp;","&amp;TEXT(C6,"0.000")&amp;","&amp;TEXT(E6,"0.00")</f>
        <v/>
      </c>
      <c r="G6" s="8">
        <f>"_POINT "&amp;F6&amp;" -TEXT "&amp;TEXT(D6+1.5,"0.000")&amp;","&amp;TEXT(C6+1.5,"0.000")&amp;" 2.0 0 "&amp;B6</f>
        <v/>
      </c>
      <c r="H6" s="8">
        <f>IF(A6=1,"_PLINE "&amp;TEXT(D6,"0.000")&amp;","&amp;TEXT(C6,"0.000"),TEXT(D6,"0.000")&amp;","&amp;TEXT(C6,"0.000"))</f>
        <v/>
      </c>
    </row>
    <row r="7">
      <c r="A7" s="3" t="n">
        <v>4</v>
      </c>
      <c r="B7" s="4" t="inlineStr">
        <is>
          <t>ND1</t>
        </is>
      </c>
      <c r="C7" s="5" t="n">
        <v>2325685.4</v>
      </c>
      <c r="D7" s="5" t="n">
        <v>584135.2</v>
      </c>
      <c r="E7" s="6" t="n">
        <v>13.1</v>
      </c>
      <c r="F7" s="7">
        <f>TEXT(D7,"0.000")&amp;","&amp;TEXT(C7,"0.000")&amp;","&amp;TEXT(E7,"0.00")</f>
        <v/>
      </c>
      <c r="G7" s="8">
        <f>"_POINT "&amp;F7&amp;" -TEXT "&amp;TEXT(D7+1.5,"0.000")&amp;","&amp;TEXT(C7+1.5,"0.000")&amp;" 2.0 0 "&amp;B7</f>
        <v/>
      </c>
      <c r="H7" s="8">
        <f>IF(A7=1,"_PLINE "&amp;TEXT(D7,"0.000")&amp;","&amp;TEXT(C7,"0.000"),TEXT(D7,"0.000")&amp;","&amp;TEXT(C7,"0.000"))</f>
        <v/>
      </c>
    </row>
    <row r="8">
      <c r="A8" s="3" t="n">
        <v>5</v>
      </c>
      <c r="B8" s="4" t="inlineStr">
        <is>
          <t>TD1</t>
        </is>
      </c>
      <c r="C8" s="5" t="n">
        <v>2325750.25</v>
      </c>
      <c r="D8" s="5" t="n">
        <v>584160.5</v>
      </c>
      <c r="E8" s="6" t="n">
        <v>13.25</v>
      </c>
      <c r="F8" s="7">
        <f>TEXT(D8,"0.000")&amp;","&amp;TEXT(C8,"0.000")&amp;","&amp;TEXT(E8,"0.00")</f>
        <v/>
      </c>
      <c r="G8" s="8">
        <f>"_POINT "&amp;F8&amp;" -TEXT "&amp;TEXT(D8+1.5,"0.000")&amp;","&amp;TEXT(C8+1.5,"0.000")&amp;" 2.0 0 "&amp;B8</f>
        <v/>
      </c>
      <c r="H8" s="8">
        <f>IF(A8=1,"_PLINE "&amp;TEXT(D8,"0.000")&amp;","&amp;TEXT(C8,"0.000"),TEXT(D8,"0.000")&amp;","&amp;TEXT(C8,"0.000"))</f>
        <v/>
      </c>
    </row>
    <row r="9">
      <c r="A9" s="3" t="n">
        <v>6</v>
      </c>
      <c r="B9" s="4" t="inlineStr">
        <is>
          <t>P1</t>
        </is>
      </c>
      <c r="C9" s="5" t="n">
        <v>2325810.6</v>
      </c>
      <c r="D9" s="5" t="n">
        <v>584195.8</v>
      </c>
      <c r="E9" s="6" t="n">
        <v>13.4</v>
      </c>
      <c r="F9" s="7">
        <f>TEXT(D9,"0.000")&amp;","&amp;TEXT(C9,"0.000")&amp;","&amp;TEXT(E9,"0.00")</f>
        <v/>
      </c>
      <c r="G9" s="8">
        <f>"_POINT "&amp;F9&amp;" -TEXT "&amp;TEXT(D9+1.5,"0.000")&amp;","&amp;TEXT(C9+1.5,"0.000")&amp;" 2.0 0 "&amp;B9</f>
        <v/>
      </c>
      <c r="H9" s="8">
        <f>IF(A9=1,"_PLINE "&amp;TEXT(D9,"0.000")&amp;","&amp;TEXT(C9,"0.000"),TEXT(D9,"0.000")&amp;","&amp;TEXT(C9,"0.000"))</f>
        <v/>
      </c>
    </row>
    <row r="10">
      <c r="A10" s="3" t="n">
        <v>7</v>
      </c>
      <c r="B10" s="4" t="inlineStr">
        <is>
          <t>TC1</t>
        </is>
      </c>
      <c r="C10" s="5" t="n">
        <v>2325870.95</v>
      </c>
      <c r="D10" s="5" t="n">
        <v>584231.1</v>
      </c>
      <c r="E10" s="6" t="n">
        <v>13.3</v>
      </c>
      <c r="F10" s="7">
        <f>TEXT(D10,"0.000")&amp;","&amp;TEXT(C10,"0.000")&amp;","&amp;TEXT(E10,"0.00")</f>
        <v/>
      </c>
      <c r="G10" s="8">
        <f>"_POINT "&amp;F10&amp;" -TEXT "&amp;TEXT(D10+1.5,"0.000")&amp;","&amp;TEXT(C10+1.5,"0.000")&amp;" 2.0 0 "&amp;B10</f>
        <v/>
      </c>
      <c r="H10" s="8">
        <f>IF(A10=1,"_PLINE "&amp;TEXT(D10,"0.000")&amp;","&amp;TEXT(C10,"0.000"),TEXT(D10,"0.000")&amp;","&amp;TEXT(C10,"0.000"))</f>
        <v/>
      </c>
    </row>
    <row r="11">
      <c r="A11" s="3" t="n">
        <v>8</v>
      </c>
      <c r="B11" s="4" t="inlineStr">
        <is>
          <t>H8</t>
        </is>
      </c>
      <c r="C11" s="5" t="n">
        <v>2325950</v>
      </c>
      <c r="D11" s="5" t="n">
        <v>584280</v>
      </c>
      <c r="E11" s="6" t="n">
        <v>13.05</v>
      </c>
      <c r="F11" s="7">
        <f>TEXT(D11,"0.000")&amp;","&amp;TEXT(C11,"0.000")&amp;","&amp;TEXT(E11,"0.00")</f>
        <v/>
      </c>
      <c r="G11" s="8">
        <f>"_POINT "&amp;F11&amp;" -TEXT "&amp;TEXT(D11+1.5,"0.000")&amp;","&amp;TEXT(C11+1.5,"0.000")&amp;" 2.0 0 "&amp;B11</f>
        <v/>
      </c>
      <c r="H11" s="8">
        <f>IF(A11=1,"_PLINE "&amp;TEXT(D11,"0.000")&amp;","&amp;TEXT(C11,"0.000"),TEXT(D11,"0.000")&amp;","&amp;TEXT(C11,"0.000"))</f>
        <v/>
      </c>
    </row>
    <row r="12">
      <c r="A12" s="3" t="n">
        <v>9</v>
      </c>
      <c r="B12" s="4" t="inlineStr">
        <is>
          <t>H9</t>
        </is>
      </c>
      <c r="C12" s="5" t="n">
        <v>2326050</v>
      </c>
      <c r="D12" s="5" t="n">
        <v>584330</v>
      </c>
      <c r="E12" s="6" t="n">
        <v>12.9</v>
      </c>
      <c r="F12" s="7">
        <f>TEXT(D12,"0.000")&amp;","&amp;TEXT(C12,"0.000")&amp;","&amp;TEXT(E12,"0.00")</f>
        <v/>
      </c>
      <c r="G12" s="8">
        <f>"_POINT "&amp;F12&amp;" -TEXT "&amp;TEXT(D12+1.5,"0.000")&amp;","&amp;TEXT(C12+1.5,"0.000")&amp;" 2.0 0 "&amp;B12</f>
        <v/>
      </c>
      <c r="H12" s="8">
        <f>IF(A12=1,"_PLINE "&amp;TEXT(D12,"0.000")&amp;","&amp;TEXT(C12,"0.000"),TEXT(D12,"0.000")&amp;","&amp;TEXT(C12,"0.000"))</f>
        <v/>
      </c>
    </row>
    <row r="13">
      <c r="A13" s="3" t="n">
        <v>10</v>
      </c>
      <c r="B13" s="4" t="inlineStr">
        <is>
          <t>KM1+000</t>
        </is>
      </c>
      <c r="C13" s="5" t="n">
        <v>2326125.5</v>
      </c>
      <c r="D13" s="5" t="n">
        <v>584375.25</v>
      </c>
      <c r="E13" s="6" t="n">
        <v>12.75</v>
      </c>
      <c r="F13" s="7">
        <f>TEXT(D13,"0.000")&amp;","&amp;TEXT(C13,"0.000")&amp;","&amp;TEXT(E13,"0.00")</f>
        <v/>
      </c>
      <c r="G13" s="8">
        <f>"_POINT "&amp;F13&amp;" -TEXT "&amp;TEXT(D13+1.5,"0.000")&amp;","&amp;TEXT(C13+1.5,"0.000")&amp;" 2.0 0 "&amp;B13</f>
        <v/>
      </c>
      <c r="H13" s="8">
        <f>IF(A13=1,"_PLINE "&amp;TEXT(D13,"0.000")&amp;","&amp;TEXT(C13,"0.000"),TEXT(D13,"0.000")&amp;","&amp;TEXT(C13,"0.000"))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8" customWidth="1" min="4" max="4"/>
    <col width="16" customWidth="1" min="5" max="5"/>
    <col width="28" customWidth="1" min="6" max="6"/>
  </cols>
  <sheetData>
    <row r="1">
      <c r="A1" s="1" t="inlineStr">
        <is>
          <t>BẢNG TÍNH CÁC YẾU TỐ ĐƯỜNG CONG NẰM (R, T, K, P, B) &amp; TỌA ĐỘ CẮM CỌC CHI TIẾT</t>
        </is>
      </c>
    </row>
    <row r="3">
      <c r="A3" s="3" t="inlineStr">
        <is>
          <t>1</t>
        </is>
      </c>
      <c r="B3" s="9" t="inlineStr">
        <is>
          <t>Lý trình đỉnh đường cong nằm (Đỉnh Đ)</t>
        </is>
      </c>
      <c r="C3" s="3" t="inlineStr">
        <is>
          <t>LT_Đỉnh</t>
        </is>
      </c>
      <c r="D3" s="6" t="n">
        <v>542.65</v>
      </c>
      <c r="E3" s="3" t="inlineStr">
        <is>
          <t>m</t>
        </is>
      </c>
      <c r="F3" s="9" t="inlineStr">
        <is>
          <t>Nhập lý trình đỉnh Đ (m)</t>
        </is>
      </c>
    </row>
    <row r="4">
      <c r="A4" s="3" t="inlineStr">
        <is>
          <t>2</t>
        </is>
      </c>
      <c r="B4" s="9" t="inlineStr">
        <is>
          <t>Góc chuyển hướng của tuyến tại đỉnh (α - độ thập phân)</t>
        </is>
      </c>
      <c r="C4" s="3" t="inlineStr">
        <is>
          <t>α</t>
        </is>
      </c>
      <c r="D4" s="5" t="n">
        <v>32.5</v>
      </c>
      <c r="E4" s="3" t="inlineStr">
        <is>
          <t>độ</t>
        </is>
      </c>
      <c r="F4" s="9" t="inlineStr">
        <is>
          <t>Ví dụ: 32 độ 30 phút = 32.50 độ</t>
        </is>
      </c>
    </row>
    <row r="5">
      <c r="A5" s="3" t="inlineStr">
        <is>
          <t>3</t>
        </is>
      </c>
      <c r="B5" s="9" t="inlineStr">
        <is>
          <t>Bán kính đường cong tròn thiết kế (R)</t>
        </is>
      </c>
      <c r="C5" s="3" t="inlineStr">
        <is>
          <t>R</t>
        </is>
      </c>
      <c r="D5" s="6" t="n">
        <v>250</v>
      </c>
      <c r="E5" s="3" t="inlineStr">
        <is>
          <t>m</t>
        </is>
      </c>
      <c r="F5" s="9" t="inlineStr">
        <is>
          <t>Theo TCVN 4054:2005</t>
        </is>
      </c>
    </row>
    <row r="6">
      <c r="A6" s="3" t="inlineStr">
        <is>
          <t>4</t>
        </is>
      </c>
      <c r="B6" s="9" t="inlineStr">
        <is>
          <t>Chiều dài đoạn chuyển tiếp nối siêu cao (L_ct)</t>
        </is>
      </c>
      <c r="C6" s="3" t="inlineStr">
        <is>
          <t>L_ct</t>
        </is>
      </c>
      <c r="D6" s="6" t="n">
        <v>50</v>
      </c>
      <c r="E6" s="3" t="inlineStr">
        <is>
          <t>m</t>
        </is>
      </c>
      <c r="F6" s="9" t="inlineStr">
        <is>
          <t>Đoạn nối siêu cao / đường cong chuyển tiếp</t>
        </is>
      </c>
    </row>
    <row r="7">
      <c r="A7" s="3" t="inlineStr">
        <is>
          <t>5</t>
        </is>
      </c>
      <c r="B7" s="9" t="inlineStr">
        <is>
          <t>Chiều dài tiếp tuyến đường cong tròn (T = R * tan(α/2))</t>
        </is>
      </c>
      <c r="C7" s="3" t="inlineStr">
        <is>
          <t>T</t>
        </is>
      </c>
      <c r="D7" s="10">
        <f>ROUND(D5*TAN(RADIANS(D4/2)),3)</f>
        <v/>
      </c>
      <c r="E7" s="3" t="inlineStr">
        <is>
          <t>m</t>
        </is>
      </c>
      <c r="F7" s="9" t="inlineStr">
        <is>
          <t>Khoảng cách từ Đỉnh đến Tiếp đầu (TĐ)</t>
        </is>
      </c>
    </row>
    <row r="8">
      <c r="A8" s="3" t="inlineStr">
        <is>
          <t>6</t>
        </is>
      </c>
      <c r="B8" s="9" t="inlineStr">
        <is>
          <t>Chiều dài đường cong tròn (K = π * R * α / 180)</t>
        </is>
      </c>
      <c r="C8" s="3" t="inlineStr">
        <is>
          <t>K</t>
        </is>
      </c>
      <c r="D8" s="10">
        <f>ROUND(PI()*D5*D4/180,3)</f>
        <v/>
      </c>
      <c r="E8" s="3" t="inlineStr">
        <is>
          <t>m</t>
        </is>
      </c>
      <c r="F8" s="9" t="inlineStr">
        <is>
          <t>Chiều dài cung tròn từ TĐ đến TC</t>
        </is>
      </c>
    </row>
    <row r="9">
      <c r="A9" s="3" t="inlineStr">
        <is>
          <t>7</t>
        </is>
      </c>
      <c r="B9" s="9" t="inlineStr">
        <is>
          <t>Chiều dài phân cự (P = R * (1/cos(α/2) - 1))</t>
        </is>
      </c>
      <c r="C9" s="3" t="inlineStr">
        <is>
          <t>P</t>
        </is>
      </c>
      <c r="D9" s="10">
        <f>ROUND(D5*(1/COS(RADIANS(D4/2))-1),3)</f>
        <v/>
      </c>
      <c r="E9" s="3" t="inlineStr">
        <is>
          <t>m</t>
        </is>
      </c>
      <c r="F9" s="9" t="inlineStr">
        <is>
          <t>Khoảng cách từ Đỉnh Đ đến Phân giác P</t>
        </is>
      </c>
    </row>
    <row r="10">
      <c r="A10" s="3" t="inlineStr">
        <is>
          <t>8</t>
        </is>
      </c>
      <c r="B10" s="9" t="inlineStr">
        <is>
          <t>Độ rút ngắn đường cong (B = 2*T - K)</t>
        </is>
      </c>
      <c r="C10" s="3" t="inlineStr">
        <is>
          <t>B</t>
        </is>
      </c>
      <c r="D10" s="10">
        <f>ROUND(2*D7-D8,3)</f>
        <v/>
      </c>
      <c r="E10" s="3" t="inlineStr">
        <is>
          <t>m</t>
        </is>
      </c>
      <c r="F10" s="9" t="inlineStr">
        <is>
          <t>Dùng để kiểm tra lý trình Tiếp cuối (TC)</t>
        </is>
      </c>
    </row>
    <row r="11">
      <c r="A11" s="3" t="inlineStr">
        <is>
          <t>9</t>
        </is>
      </c>
      <c r="B11" s="9" t="inlineStr">
        <is>
          <t>Lý trình cọc Tiếp đầu (LT_TĐ = LT_Đỉnh - T)</t>
        </is>
      </c>
      <c r="C11" s="3" t="inlineStr">
        <is>
          <t>LT_TĐ</t>
        </is>
      </c>
      <c r="D11" s="11">
        <f>ROUND(D3-D7,2)</f>
        <v/>
      </c>
      <c r="E11" s="3" t="inlineStr">
        <is>
          <t>m</t>
        </is>
      </c>
      <c r="F11" s="9" t="inlineStr">
        <is>
          <t>Vị trí bắt đầu vào đường cong tròn</t>
        </is>
      </c>
    </row>
    <row r="12">
      <c r="A12" s="3" t="inlineStr">
        <is>
          <t>10</t>
        </is>
      </c>
      <c r="B12" s="9" t="inlineStr">
        <is>
          <t>Lý trình cọc Phân giác (LT_P = LT_TĐ + K/2)</t>
        </is>
      </c>
      <c r="C12" s="3" t="inlineStr">
        <is>
          <t>LT_P</t>
        </is>
      </c>
      <c r="D12" s="11">
        <f>ROUND(D11+D8/2,2)</f>
        <v/>
      </c>
      <c r="E12" s="3" t="inlineStr">
        <is>
          <t>m</t>
        </is>
      </c>
      <c r="F12" s="9" t="inlineStr">
        <is>
          <t>Vị trí giữa đường cong tròn</t>
        </is>
      </c>
    </row>
    <row r="13">
      <c r="A13" s="3" t="inlineStr">
        <is>
          <t>11</t>
        </is>
      </c>
      <c r="B13" s="9" t="inlineStr">
        <is>
          <t>Lý trình cọc Tiếp cuối (LT_TC = LT_TĐ + K)</t>
        </is>
      </c>
      <c r="C13" s="3" t="inlineStr">
        <is>
          <t>LT_TC</t>
        </is>
      </c>
      <c r="D13" s="11">
        <f>ROUND(D11+D8,2)</f>
        <v/>
      </c>
      <c r="E13" s="3" t="inlineStr">
        <is>
          <t>m</t>
        </is>
      </c>
      <c r="F13" s="9" t="inlineStr">
        <is>
          <t>Vị trí kết thúc đường cong tròn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2026-10-21T01:20:59Z</dcterms:created>
  <dcterms:modified xmlns:dcterms="http://purl.org/dc/terms/" xmlns:xsi="http://www.w3.org/2001/XMLSchema-instance" xsi:type="dcterms:W3CDTF">2026-10-21T01:20:59Z</dcterms:modified>
</cp:coreProperties>
</file>
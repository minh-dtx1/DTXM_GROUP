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hongKe_CotThep_CapD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b val="1"/>
      <color rgb="00003366"/>
      <sz val="11"/>
    </font>
    <font>
      <name val="Times New Roman"/>
      <b val="1"/>
      <color rgb="000000CC"/>
      <sz val="11"/>
    </font>
    <font>
      <name val="Times New Roman"/>
      <b val="1"/>
      <color rgb="00990000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" fontId="3" fillId="3" borderId="1" applyAlignment="1" pivotButton="0" quotePrefix="0" xfId="0">
      <alignment horizontal="right" vertical="center" wrapText="1"/>
    </xf>
    <xf numFmtId="2" fontId="3" fillId="3" borderId="1" applyAlignment="1" pivotButton="0" quotePrefix="0" xfId="0">
      <alignment horizontal="right" vertical="center" wrapText="1"/>
    </xf>
    <xf numFmtId="3" fontId="3" fillId="3" borderId="1" applyAlignment="1" pivotButton="0" quotePrefix="0" xfId="0">
      <alignment horizontal="right" vertical="center" wrapText="1"/>
    </xf>
    <xf numFmtId="3" fontId="4" fillId="4" borderId="1" applyAlignment="1" pivotButton="0" quotePrefix="0" xfId="0">
      <alignment horizontal="right" vertical="center" wrapText="1"/>
    </xf>
    <xf numFmtId="4" fontId="4" fillId="4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164" fontId="4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2" customWidth="1" min="4" max="4"/>
    <col width="16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BẢNG THỐNG KÊ CỐT THÉP &amp; CÁP DỰ ỨNG LỰC TỰ ĐỘNG PHÂN LOẠI THEO ĐỊNH MỨC DỰ TOÁN (TT 38/2026/TT-BXD)</t>
        </is>
      </c>
    </row>
    <row r="3">
      <c r="A3" s="2" t="inlineStr">
        <is>
          <t>STT</t>
        </is>
      </c>
      <c r="B3" s="2" t="inlineStr">
        <is>
          <t>Tên cấu kiện / Vị trí</t>
        </is>
      </c>
      <c r="C3" s="2" t="inlineStr">
        <is>
          <t>Số hiệu thanh</t>
        </is>
      </c>
      <c r="D3" s="2" t="inlineStr">
        <is>
          <t>Đường kính d (mm)</t>
        </is>
      </c>
      <c r="E3" s="2" t="inlineStr">
        <is>
          <t>Chiều dài 1 thanh L (m)</t>
        </is>
      </c>
      <c r="F3" s="2" t="inlineStr">
        <is>
          <t>Số thanh / 1 CK</t>
        </is>
      </c>
      <c r="G3" s="2" t="inlineStr">
        <is>
          <t>Số cấu kiện</t>
        </is>
      </c>
      <c r="H3" s="2" t="inlineStr">
        <is>
          <t>Tổng số thanh</t>
        </is>
      </c>
      <c r="I3" s="2" t="inlineStr">
        <is>
          <t>Tổng chiều dài (m)</t>
        </is>
      </c>
      <c r="J3" s="2" t="inlineStr">
        <is>
          <t>KL Thép d &lt;= 10mm (kg)</t>
        </is>
      </c>
      <c r="K3" s="2" t="inlineStr">
        <is>
          <t>KL Thép 10 &lt; d &lt;= 18mm (kg)</t>
        </is>
      </c>
      <c r="L3" s="2" t="inlineStr">
        <is>
          <t>KL Thép d &gt; 18mm (kg)</t>
        </is>
      </c>
    </row>
    <row r="4">
      <c r="A4" s="3" t="n">
        <v>1</v>
      </c>
      <c r="B4" s="4" t="inlineStr">
        <is>
          <t>Bản mặt cầu Nhịp N1</t>
        </is>
      </c>
      <c r="C4" s="3" t="inlineStr">
        <is>
          <t>N1</t>
        </is>
      </c>
      <c r="D4" s="5" t="n">
        <v>16</v>
      </c>
      <c r="E4" s="6" t="n">
        <v>11.7</v>
      </c>
      <c r="F4" s="7" t="n">
        <v>48</v>
      </c>
      <c r="G4" s="5" t="n">
        <v>1</v>
      </c>
      <c r="H4" s="8">
        <f>F4*G4</f>
        <v/>
      </c>
      <c r="I4" s="9">
        <f>H4*E4</f>
        <v/>
      </c>
      <c r="J4" s="9">
        <f>IF(D4&lt;=10, ROUND(I4*D4^2/162.162, 2), 0)</f>
        <v/>
      </c>
      <c r="K4" s="9">
        <f>IF(AND(D4&gt;10,D4&lt;=18), ROUND(I4*D4^2/162.162, 2), 0)</f>
        <v/>
      </c>
      <c r="L4" s="9">
        <f>IF(D4&gt;18, ROUND(I4*D4^2/162.162, 2), 0)</f>
        <v/>
      </c>
    </row>
    <row r="5">
      <c r="A5" s="3" t="n">
        <v>2</v>
      </c>
      <c r="B5" s="4" t="inlineStr">
        <is>
          <t>Bản mặt cầu Nhịp N1</t>
        </is>
      </c>
      <c r="C5" s="3" t="inlineStr">
        <is>
          <t>N2</t>
        </is>
      </c>
      <c r="D5" s="5" t="n">
        <v>12</v>
      </c>
      <c r="E5" s="6" t="n">
        <v>24.5</v>
      </c>
      <c r="F5" s="7" t="n">
        <v>32</v>
      </c>
      <c r="G5" s="5" t="n">
        <v>1</v>
      </c>
      <c r="H5" s="8">
        <f>F5*G5</f>
        <v/>
      </c>
      <c r="I5" s="9">
        <f>H5*E5</f>
        <v/>
      </c>
      <c r="J5" s="9">
        <f>IF(D5&lt;=10, ROUND(I5*D5^2/162.162, 2), 0)</f>
        <v/>
      </c>
      <c r="K5" s="9">
        <f>IF(AND(D5&gt;10,D5&lt;=18), ROUND(I5*D5^2/162.162, 2), 0)</f>
        <v/>
      </c>
      <c r="L5" s="9">
        <f>IF(D5&gt;18, ROUND(I5*D5^2/162.162, 2), 0)</f>
        <v/>
      </c>
    </row>
    <row r="6">
      <c r="A6" s="3" t="n">
        <v>3</v>
      </c>
      <c r="B6" s="4" t="inlineStr">
        <is>
          <t>Gờ chắn bánh BTCT</t>
        </is>
      </c>
      <c r="C6" s="3" t="inlineStr">
        <is>
          <t>G1</t>
        </is>
      </c>
      <c r="D6" s="5" t="n">
        <v>10</v>
      </c>
      <c r="E6" s="6" t="n">
        <v>1.45</v>
      </c>
      <c r="F6" s="7" t="n">
        <v>120</v>
      </c>
      <c r="G6" s="5" t="n">
        <v>2</v>
      </c>
      <c r="H6" s="8">
        <f>F6*G6</f>
        <v/>
      </c>
      <c r="I6" s="9">
        <f>H6*E6</f>
        <v/>
      </c>
      <c r="J6" s="9">
        <f>IF(D6&lt;=10, ROUND(I6*D6^2/162.162, 2), 0)</f>
        <v/>
      </c>
      <c r="K6" s="9">
        <f>IF(AND(D6&gt;10,D6&lt;=18), ROUND(I6*D6^2/162.162, 2), 0)</f>
        <v/>
      </c>
      <c r="L6" s="9">
        <f>IF(D6&gt;18, ROUND(I6*D6^2/162.162, 2), 0)</f>
        <v/>
      </c>
    </row>
    <row r="7">
      <c r="A7" s="3" t="n">
        <v>4</v>
      </c>
      <c r="B7" s="4" t="inlineStr">
        <is>
          <t>Xà mũ Trụ T1</t>
        </is>
      </c>
      <c r="C7" s="3" t="inlineStr">
        <is>
          <t>X1</t>
        </is>
      </c>
      <c r="D7" s="5" t="n">
        <v>28</v>
      </c>
      <c r="E7" s="6" t="n">
        <v>9.800000000000001</v>
      </c>
      <c r="F7" s="7" t="n">
        <v>14</v>
      </c>
      <c r="G7" s="5" t="n">
        <v>2</v>
      </c>
      <c r="H7" s="8">
        <f>F7*G7</f>
        <v/>
      </c>
      <c r="I7" s="9">
        <f>H7*E7</f>
        <v/>
      </c>
      <c r="J7" s="9">
        <f>IF(D7&lt;=10, ROUND(I7*D7^2/162.162, 2), 0)</f>
        <v/>
      </c>
      <c r="K7" s="9">
        <f>IF(AND(D7&gt;10,D7&lt;=18), ROUND(I7*D7^2/162.162, 2), 0)</f>
        <v/>
      </c>
      <c r="L7" s="9">
        <f>IF(D7&gt;18, ROUND(I7*D7^2/162.162, 2), 0)</f>
        <v/>
      </c>
    </row>
    <row r="8">
      <c r="A8" s="3" t="n">
        <v>5</v>
      </c>
      <c r="B8" s="4" t="inlineStr">
        <is>
          <t>Xà mũ Trụ T1</t>
        </is>
      </c>
      <c r="C8" s="3" t="inlineStr">
        <is>
          <t>X2</t>
        </is>
      </c>
      <c r="D8" s="5" t="n">
        <v>25</v>
      </c>
      <c r="E8" s="6" t="n">
        <v>8.6</v>
      </c>
      <c r="F8" s="7" t="n">
        <v>10</v>
      </c>
      <c r="G8" s="5" t="n">
        <v>2</v>
      </c>
      <c r="H8" s="8">
        <f>F8*G8</f>
        <v/>
      </c>
      <c r="I8" s="9">
        <f>H8*E8</f>
        <v/>
      </c>
      <c r="J8" s="9">
        <f>IF(D8&lt;=10, ROUND(I8*D8^2/162.162, 2), 0)</f>
        <v/>
      </c>
      <c r="K8" s="9">
        <f>IF(AND(D8&gt;10,D8&lt;=18), ROUND(I8*D8^2/162.162, 2), 0)</f>
        <v/>
      </c>
      <c r="L8" s="9">
        <f>IF(D8&gt;18, ROUND(I8*D8^2/162.162, 2), 0)</f>
        <v/>
      </c>
    </row>
    <row r="9">
      <c r="A9" s="3" t="n">
        <v>6</v>
      </c>
      <c r="B9" s="4" t="inlineStr">
        <is>
          <t>Xà mũ Trụ T1 (Đai)</t>
        </is>
      </c>
      <c r="C9" s="3" t="inlineStr">
        <is>
          <t>X3</t>
        </is>
      </c>
      <c r="D9" s="5" t="n">
        <v>12</v>
      </c>
      <c r="E9" s="6" t="n">
        <v>4.2</v>
      </c>
      <c r="F9" s="7" t="n">
        <v>65</v>
      </c>
      <c r="G9" s="5" t="n">
        <v>2</v>
      </c>
      <c r="H9" s="8">
        <f>F9*G9</f>
        <v/>
      </c>
      <c r="I9" s="9">
        <f>H9*E9</f>
        <v/>
      </c>
      <c r="J9" s="9">
        <f>IF(D9&lt;=10, ROUND(I9*D9^2/162.162, 2), 0)</f>
        <v/>
      </c>
      <c r="K9" s="9">
        <f>IF(AND(D9&gt;10,D9&lt;=18), ROUND(I9*D9^2/162.162, 2), 0)</f>
        <v/>
      </c>
      <c r="L9" s="9">
        <f>IF(D9&gt;18, ROUND(I9*D9^2/162.162, 2), 0)</f>
        <v/>
      </c>
    </row>
    <row r="10">
      <c r="A10" s="3" t="n">
        <v>7</v>
      </c>
      <c r="B10" s="4" t="inlineStr">
        <is>
          <t>Thân Trụ T1</t>
        </is>
      </c>
      <c r="C10" s="3" t="inlineStr">
        <is>
          <t>T1</t>
        </is>
      </c>
      <c r="D10" s="5" t="n">
        <v>25</v>
      </c>
      <c r="E10" s="6" t="n">
        <v>7.5</v>
      </c>
      <c r="F10" s="7" t="n">
        <v>36</v>
      </c>
      <c r="G10" s="5" t="n">
        <v>2</v>
      </c>
      <c r="H10" s="8">
        <f>F10*G10</f>
        <v/>
      </c>
      <c r="I10" s="9">
        <f>H10*E10</f>
        <v/>
      </c>
      <c r="J10" s="9">
        <f>IF(D10&lt;=10, ROUND(I10*D10^2/162.162, 2), 0)</f>
        <v/>
      </c>
      <c r="K10" s="9">
        <f>IF(AND(D10&gt;10,D10&lt;=18), ROUND(I10*D10^2/162.162, 2), 0)</f>
        <v/>
      </c>
      <c r="L10" s="9">
        <f>IF(D10&gt;18, ROUND(I10*D10^2/162.162, 2), 0)</f>
        <v/>
      </c>
    </row>
    <row r="11">
      <c r="A11" s="3" t="n">
        <v>8</v>
      </c>
      <c r="B11" s="4" t="inlineStr">
        <is>
          <t>Thân Trụ T1 (Đai)</t>
        </is>
      </c>
      <c r="C11" s="3" t="inlineStr">
        <is>
          <t>T2</t>
        </is>
      </c>
      <c r="D11" s="5" t="n">
        <v>10</v>
      </c>
      <c r="E11" s="6" t="n">
        <v>5.4</v>
      </c>
      <c r="F11" s="7" t="n">
        <v>45</v>
      </c>
      <c r="G11" s="5" t="n">
        <v>2</v>
      </c>
      <c r="H11" s="8">
        <f>F11*G11</f>
        <v/>
      </c>
      <c r="I11" s="9">
        <f>H11*E11</f>
        <v/>
      </c>
      <c r="J11" s="9">
        <f>IF(D11&lt;=10, ROUND(I11*D11^2/162.162, 2), 0)</f>
        <v/>
      </c>
      <c r="K11" s="9">
        <f>IF(AND(D11&gt;10,D11&lt;=18), ROUND(I11*D11^2/162.162, 2), 0)</f>
        <v/>
      </c>
      <c r="L11" s="9">
        <f>IF(D11&gt;18, ROUND(I11*D11^2/162.162, 2), 0)</f>
        <v/>
      </c>
    </row>
    <row r="12">
      <c r="A12" s="3" t="n">
        <v>9</v>
      </c>
      <c r="B12" s="4" t="inlineStr">
        <is>
          <t>Bệ Trụ T1</t>
        </is>
      </c>
      <c r="C12" s="3" t="inlineStr">
        <is>
          <t>B1</t>
        </is>
      </c>
      <c r="D12" s="5" t="n">
        <v>22</v>
      </c>
      <c r="E12" s="6" t="n">
        <v>6.8</v>
      </c>
      <c r="F12" s="7" t="n">
        <v>28</v>
      </c>
      <c r="G12" s="5" t="n">
        <v>2</v>
      </c>
      <c r="H12" s="8">
        <f>F12*G12</f>
        <v/>
      </c>
      <c r="I12" s="9">
        <f>H12*E12</f>
        <v/>
      </c>
      <c r="J12" s="9">
        <f>IF(D12&lt;=10, ROUND(I12*D12^2/162.162, 2), 0)</f>
        <v/>
      </c>
      <c r="K12" s="9">
        <f>IF(AND(D12&gt;10,D12&lt;=18), ROUND(I12*D12^2/162.162, 2), 0)</f>
        <v/>
      </c>
      <c r="L12" s="9">
        <f>IF(D12&gt;18, ROUND(I12*D12^2/162.162, 2), 0)</f>
        <v/>
      </c>
    </row>
    <row r="13">
      <c r="A13" s="3" t="n">
        <v>10</v>
      </c>
      <c r="B13" s="4" t="inlineStr">
        <is>
          <t>Cọc khoan nhồi D1200</t>
        </is>
      </c>
      <c r="C13" s="3" t="inlineStr">
        <is>
          <t>C1</t>
        </is>
      </c>
      <c r="D13" s="5" t="n">
        <v>25</v>
      </c>
      <c r="E13" s="6" t="n">
        <v>11.7</v>
      </c>
      <c r="F13" s="7" t="n">
        <v>24</v>
      </c>
      <c r="G13" s="5" t="n">
        <v>8</v>
      </c>
      <c r="H13" s="8">
        <f>F13*G13</f>
        <v/>
      </c>
      <c r="I13" s="9">
        <f>H13*E13</f>
        <v/>
      </c>
      <c r="J13" s="9">
        <f>IF(D13&lt;=10, ROUND(I13*D13^2/162.162, 2), 0)</f>
        <v/>
      </c>
      <c r="K13" s="9">
        <f>IF(AND(D13&gt;10,D13&lt;=18), ROUND(I13*D13^2/162.162, 2), 0)</f>
        <v/>
      </c>
      <c r="L13" s="9">
        <f>IF(D13&gt;18, ROUND(I13*D13^2/162.162, 2), 0)</f>
        <v/>
      </c>
    </row>
    <row r="14">
      <c r="A14" s="3" t="n">
        <v>11</v>
      </c>
      <c r="B14" s="4" t="inlineStr">
        <is>
          <t>Cọc khoan nhồi (Đai)</t>
        </is>
      </c>
      <c r="C14" s="3" t="inlineStr">
        <is>
          <t>C2</t>
        </is>
      </c>
      <c r="D14" s="5" t="n">
        <v>10</v>
      </c>
      <c r="E14" s="6" t="n">
        <v>3.65</v>
      </c>
      <c r="F14" s="7" t="n">
        <v>160</v>
      </c>
      <c r="G14" s="5" t="n">
        <v>8</v>
      </c>
      <c r="H14" s="8">
        <f>F14*G14</f>
        <v/>
      </c>
      <c r="I14" s="9">
        <f>H14*E14</f>
        <v/>
      </c>
      <c r="J14" s="9">
        <f>IF(D14&lt;=10, ROUND(I14*D14^2/162.162, 2), 0)</f>
        <v/>
      </c>
      <c r="K14" s="9">
        <f>IF(AND(D14&gt;10,D14&lt;=18), ROUND(I14*D14^2/162.162, 2), 0)</f>
        <v/>
      </c>
      <c r="L14" s="9">
        <f>IF(D14&gt;18, ROUND(I14*D14^2/162.162, 2), 0)</f>
        <v/>
      </c>
    </row>
    <row r="15">
      <c r="A15" s="10" t="inlineStr">
        <is>
          <t>TỔNG KHỐI LƯỢNG CỐT THÉP TỪNG LOẠI ĐƯỜNG KÍNH (KG)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9">
        <f>SUM(J4:J14)</f>
        <v/>
      </c>
      <c r="K15" s="9">
        <f>SUM(K4:K14)</f>
        <v/>
      </c>
      <c r="L15" s="9">
        <f>SUM(L4:L14)</f>
        <v/>
      </c>
    </row>
    <row r="16">
      <c r="A16" s="10" t="inlineStr">
        <is>
          <t>QUY ĐỔI RA TẤN ĐỂ ÁP MÃ ĐỊNH MỨC DỰ TOÁN AF.6xxxx (TẤN)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2">
        <f>ROUND(J15/1000, 3)</f>
        <v/>
      </c>
      <c r="K16" s="12">
        <f>ROUND(K15/1000, 3)</f>
        <v/>
      </c>
      <c r="L16" s="12">
        <f>ROUND(L15/1000, 3)</f>
        <v/>
      </c>
    </row>
  </sheetData>
  <mergeCells count="3">
    <mergeCell ref="A15:I15"/>
    <mergeCell ref="A1:L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2026-10-21T01:20:59Z</dcterms:created>
  <dcterms:modified xmlns:dcterms="http://purl.org/dc/terms/" xmlns:xsi="http://www.w3.org/2001/XMLSchema-instance" xsi:type="dcterms:W3CDTF">2026-10-21T01:20:59Z</dcterms:modified>
</cp:coreProperties>
</file>
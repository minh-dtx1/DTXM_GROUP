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angTinh_KhoiLuong_DaoD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right" vertical="center" wrapText="1"/>
    </xf>
    <xf numFmtId="2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22" customWidth="1" min="11" max="11"/>
  </cols>
  <sheetData>
    <row r="1">
      <c r="A1" s="1" t="inlineStr">
        <is>
          <t>BẢNG TÍNH KHỐI LƯỢNG ĐÀO - ĐẮP NỀN ĐƯỜNG TỪ DIỆN TÍCH MẶT CẮT NGANG &amp; ĐIỀU PHỐI ĐẤT</t>
        </is>
      </c>
    </row>
    <row r="3">
      <c r="A3" s="2" t="inlineStr">
        <is>
          <t>STT</t>
        </is>
      </c>
      <c r="B3" s="2" t="inlineStr">
        <is>
          <t>Tên Cọc</t>
        </is>
      </c>
      <c r="C3" s="2" t="inlineStr">
        <is>
          <t>Lý trình (m)</t>
        </is>
      </c>
      <c r="D3" s="2" t="inlineStr">
        <is>
          <t>Khoảng cách lẻ d_i (m)</t>
        </is>
      </c>
      <c r="E3" s="2" t="inlineStr">
        <is>
          <t>DT Đào đất F_đào (m2)</t>
        </is>
      </c>
      <c r="F3" s="2" t="inlineStr">
        <is>
          <t>DT Đắp K95 F_k95 (m2)</t>
        </is>
      </c>
      <c r="G3" s="2" t="inlineStr">
        <is>
          <t>DT Đắp K98 F_k98 (m2)</t>
        </is>
      </c>
      <c r="H3" s="2" t="inlineStr">
        <is>
          <t>Thể tích Đào V_đào (m3)</t>
        </is>
      </c>
      <c r="I3" s="2" t="inlineStr">
        <is>
          <t>Thể tích Đắp K95 (m3)</t>
        </is>
      </c>
      <c r="J3" s="2" t="inlineStr">
        <is>
          <t>Thể tích Đắp K98 (m3)</t>
        </is>
      </c>
      <c r="K3" s="2" t="inlineStr">
        <is>
          <t>Cân bằng Đào - Đắp quy đổi hệ số đầm nén K=1.13 (m3)</t>
        </is>
      </c>
    </row>
    <row r="4">
      <c r="A4" s="3" t="n">
        <v>1</v>
      </c>
      <c r="B4" s="4" t="inlineStr">
        <is>
          <t>KM0+000</t>
        </is>
      </c>
      <c r="C4" s="5" t="n">
        <v>0</v>
      </c>
      <c r="D4" s="6" t="n">
        <v>0</v>
      </c>
      <c r="E4" s="5" t="n">
        <v>4.2</v>
      </c>
      <c r="F4" s="5" t="n">
        <v>12.5</v>
      </c>
      <c r="G4" s="5" t="n">
        <v>3.8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3" t="n">
        <v>2</v>
      </c>
      <c r="B5" s="4" t="inlineStr">
        <is>
          <t>C1</t>
        </is>
      </c>
      <c r="C5" s="5" t="n">
        <v>20</v>
      </c>
      <c r="D5" s="6">
        <f>C5-C4</f>
        <v/>
      </c>
      <c r="E5" s="5" t="n">
        <v>5.8</v>
      </c>
      <c r="F5" s="5" t="n">
        <v>10.4</v>
      </c>
      <c r="G5" s="5" t="n">
        <v>3.8</v>
      </c>
      <c r="H5" s="7">
        <f>ROUND(0.5*(E5+E4)*D5, 2)</f>
        <v/>
      </c>
      <c r="I5" s="7">
        <f>ROUND(0.5*(F5+F4)*D5, 2)</f>
        <v/>
      </c>
      <c r="J5" s="7">
        <f>ROUND(0.5*(G5+G4)*D5, 2)</f>
        <v/>
      </c>
      <c r="K5" s="7">
        <f>ROUND(H5-1.13*(I5+J5), 2)</f>
        <v/>
      </c>
    </row>
    <row r="6">
      <c r="A6" s="3" t="n">
        <v>3</v>
      </c>
      <c r="B6" s="4" t="inlineStr">
        <is>
          <t>C2</t>
        </is>
      </c>
      <c r="C6" s="5" t="n">
        <v>40</v>
      </c>
      <c r="D6" s="6">
        <f>C6-C5</f>
        <v/>
      </c>
      <c r="E6" s="5" t="n">
        <v>11.4</v>
      </c>
      <c r="F6" s="5" t="n">
        <v>6.2</v>
      </c>
      <c r="G6" s="5" t="n">
        <v>3.8</v>
      </c>
      <c r="H6" s="7">
        <f>ROUND(0.5*(E6+E5)*D6, 2)</f>
        <v/>
      </c>
      <c r="I6" s="7">
        <f>ROUND(0.5*(F6+F5)*D6, 2)</f>
        <v/>
      </c>
      <c r="J6" s="7">
        <f>ROUND(0.5*(G6+G5)*D6, 2)</f>
        <v/>
      </c>
      <c r="K6" s="7">
        <f>ROUND(H6-1.13*(I6+J6), 2)</f>
        <v/>
      </c>
    </row>
    <row r="7">
      <c r="A7" s="3" t="n">
        <v>4</v>
      </c>
      <c r="B7" s="4" t="inlineStr">
        <is>
          <t>C3</t>
        </is>
      </c>
      <c r="C7" s="5" t="n">
        <v>60</v>
      </c>
      <c r="D7" s="6">
        <f>C7-C6</f>
        <v/>
      </c>
      <c r="E7" s="5" t="n">
        <v>18.5</v>
      </c>
      <c r="F7" s="5" t="n">
        <v>2.1</v>
      </c>
      <c r="G7" s="5" t="n">
        <v>3.8</v>
      </c>
      <c r="H7" s="7">
        <f>ROUND(0.5*(E7+E6)*D7, 2)</f>
        <v/>
      </c>
      <c r="I7" s="7">
        <f>ROUND(0.5*(F7+F6)*D7, 2)</f>
        <v/>
      </c>
      <c r="J7" s="7">
        <f>ROUND(0.5*(G7+G6)*D7, 2)</f>
        <v/>
      </c>
      <c r="K7" s="7">
        <f>ROUND(H7-1.13*(I7+J7), 2)</f>
        <v/>
      </c>
    </row>
    <row r="8">
      <c r="A8" s="3" t="n">
        <v>5</v>
      </c>
      <c r="B8" s="4" t="inlineStr">
        <is>
          <t>C4</t>
        </is>
      </c>
      <c r="C8" s="5" t="n">
        <v>80</v>
      </c>
      <c r="D8" s="6">
        <f>C8-C7</f>
        <v/>
      </c>
      <c r="E8" s="5" t="n">
        <v>14.2</v>
      </c>
      <c r="F8" s="5" t="n">
        <v>4.5</v>
      </c>
      <c r="G8" s="5" t="n">
        <v>3.8</v>
      </c>
      <c r="H8" s="7">
        <f>ROUND(0.5*(E8+E7)*D8, 2)</f>
        <v/>
      </c>
      <c r="I8" s="7">
        <f>ROUND(0.5*(F8+F7)*D8, 2)</f>
        <v/>
      </c>
      <c r="J8" s="7">
        <f>ROUND(0.5*(G8+G7)*D8, 2)</f>
        <v/>
      </c>
      <c r="K8" s="7">
        <f>ROUND(H8-1.13*(I8+J8), 2)</f>
        <v/>
      </c>
    </row>
    <row r="9">
      <c r="A9" s="3" t="n">
        <v>6</v>
      </c>
      <c r="B9" s="4" t="inlineStr">
        <is>
          <t>H1</t>
        </is>
      </c>
      <c r="C9" s="5" t="n">
        <v>100</v>
      </c>
      <c r="D9" s="6">
        <f>C9-C8</f>
        <v/>
      </c>
      <c r="E9" s="5" t="n">
        <v>6.1</v>
      </c>
      <c r="F9" s="5" t="n">
        <v>15.8</v>
      </c>
      <c r="G9" s="5" t="n">
        <v>3.8</v>
      </c>
      <c r="H9" s="7">
        <f>ROUND(0.5*(E9+E8)*D9, 2)</f>
        <v/>
      </c>
      <c r="I9" s="7">
        <f>ROUND(0.5*(F9+F8)*D9, 2)</f>
        <v/>
      </c>
      <c r="J9" s="7">
        <f>ROUND(0.5*(G9+G8)*D9, 2)</f>
        <v/>
      </c>
      <c r="K9" s="7">
        <f>ROUND(H9-1.13*(I9+J9), 2)</f>
        <v/>
      </c>
    </row>
    <row r="10">
      <c r="A10" s="3" t="n">
        <v>7</v>
      </c>
      <c r="B10" s="4" t="inlineStr">
        <is>
          <t>C5</t>
        </is>
      </c>
      <c r="C10" s="5" t="n">
        <v>120</v>
      </c>
      <c r="D10" s="6">
        <f>C10-C9</f>
        <v/>
      </c>
      <c r="E10" s="5" t="n">
        <v>2.4</v>
      </c>
      <c r="F10" s="5" t="n">
        <v>22.4</v>
      </c>
      <c r="G10" s="5" t="n">
        <v>3.8</v>
      </c>
      <c r="H10" s="7">
        <f>ROUND(0.5*(E10+E9)*D10, 2)</f>
        <v/>
      </c>
      <c r="I10" s="7">
        <f>ROUND(0.5*(F10+F9)*D10, 2)</f>
        <v/>
      </c>
      <c r="J10" s="7">
        <f>ROUND(0.5*(G10+G9)*D10, 2)</f>
        <v/>
      </c>
      <c r="K10" s="7">
        <f>ROUND(H10-1.13*(I10+J10), 2)</f>
        <v/>
      </c>
    </row>
    <row r="11">
      <c r="A11" s="3" t="n">
        <v>8</v>
      </c>
      <c r="B11" s="4" t="inlineStr">
        <is>
          <t>C6</t>
        </is>
      </c>
      <c r="C11" s="5" t="n">
        <v>140</v>
      </c>
      <c r="D11" s="6">
        <f>C11-C10</f>
        <v/>
      </c>
      <c r="E11" s="5" t="n">
        <v>1.8</v>
      </c>
      <c r="F11" s="5" t="n">
        <v>25.6</v>
      </c>
      <c r="G11" s="5" t="n">
        <v>3.8</v>
      </c>
      <c r="H11" s="7">
        <f>ROUND(0.5*(E11+E10)*D11, 2)</f>
        <v/>
      </c>
      <c r="I11" s="7">
        <f>ROUND(0.5*(F11+F10)*D11, 2)</f>
        <v/>
      </c>
      <c r="J11" s="7">
        <f>ROUND(0.5*(G11+G10)*D11, 2)</f>
        <v/>
      </c>
      <c r="K11" s="7">
        <f>ROUND(H11-1.13*(I11+J11), 2)</f>
        <v/>
      </c>
    </row>
    <row r="12">
      <c r="A12" s="3" t="n">
        <v>9</v>
      </c>
      <c r="B12" s="4" t="inlineStr">
        <is>
          <t>C7</t>
        </is>
      </c>
      <c r="C12" s="5" t="n">
        <v>160</v>
      </c>
      <c r="D12" s="6">
        <f>C12-C11</f>
        <v/>
      </c>
      <c r="E12" s="5" t="n">
        <v>3.5</v>
      </c>
      <c r="F12" s="5" t="n">
        <v>18.9</v>
      </c>
      <c r="G12" s="5" t="n">
        <v>3.8</v>
      </c>
      <c r="H12" s="7">
        <f>ROUND(0.5*(E12+E11)*D12, 2)</f>
        <v/>
      </c>
      <c r="I12" s="7">
        <f>ROUND(0.5*(F12+F11)*D12, 2)</f>
        <v/>
      </c>
      <c r="J12" s="7">
        <f>ROUND(0.5*(G12+G11)*D12, 2)</f>
        <v/>
      </c>
      <c r="K12" s="7">
        <f>ROUND(H12-1.13*(I12+J12), 2)</f>
        <v/>
      </c>
    </row>
    <row r="13">
      <c r="A13" s="3" t="n">
        <v>10</v>
      </c>
      <c r="B13" s="4" t="inlineStr">
        <is>
          <t>H2</t>
        </is>
      </c>
      <c r="C13" s="5" t="n">
        <v>200</v>
      </c>
      <c r="D13" s="6">
        <f>C13-C12</f>
        <v/>
      </c>
      <c r="E13" s="5" t="n">
        <v>8.199999999999999</v>
      </c>
      <c r="F13" s="5" t="n">
        <v>11.2</v>
      </c>
      <c r="G13" s="5" t="n">
        <v>3.8</v>
      </c>
      <c r="H13" s="7">
        <f>ROUND(0.5*(E13+E12)*D13, 2)</f>
        <v/>
      </c>
      <c r="I13" s="7">
        <f>ROUND(0.5*(F13+F12)*D13, 2)</f>
        <v/>
      </c>
      <c r="J13" s="7">
        <f>ROUND(0.5*(G13+G12)*D13, 2)</f>
        <v/>
      </c>
      <c r="K13" s="7">
        <f>ROUND(H13-1.13*(I13+J13), 2)</f>
        <v/>
      </c>
    </row>
    <row r="14">
      <c r="A14" s="8" t="inlineStr">
        <is>
          <t>TỔNG CỘNG KHỐI LƯỢNG TOÀN ĐOẠN TUYẾN</t>
        </is>
      </c>
      <c r="B14" s="9" t="n"/>
      <c r="C14" s="9" t="n"/>
      <c r="D14" s="10">
        <f>SUM(D4:D13)</f>
        <v/>
      </c>
      <c r="E14" s="9" t="n"/>
      <c r="F14" s="9" t="n"/>
      <c r="G14" s="9" t="n"/>
      <c r="H14" s="7">
        <f>SUM(H4:H13)</f>
        <v/>
      </c>
      <c r="I14" s="7">
        <f>SUM(I4:I13)</f>
        <v/>
      </c>
      <c r="J14" s="7">
        <f>SUM(J4:J13)</f>
        <v/>
      </c>
      <c r="K14" s="7">
        <f>SUM(K4:K13)</f>
        <v/>
      </c>
    </row>
  </sheetData>
  <mergeCells count="2">
    <mergeCell ref="A1:K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2026-10-21T01:20:59Z</dcterms:created>
  <dcterms:modified xmlns:dcterms="http://purl.org/dc/terms/" xmlns:xsi="http://www.w3.org/2001/XMLSchema-instance" xsi:type="dcterms:W3CDTF">2026-10-21T01:20:59Z</dcterms:modified>
</cp:coreProperties>
</file>
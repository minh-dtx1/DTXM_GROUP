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Z:\BTM_DU AN\25. KENH NGANG 3\02_TKCS DIEU CHINH\01_BIA - ML - TM\"/>
    </mc:Choice>
  </mc:AlternateContent>
  <xr:revisionPtr revIDLastSave="0" documentId="13_ncr:1_{DD64970A-2C8B-464F-A973-3B106C3D84EB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KENH NGANG 3" sheetId="2" r:id="rId1"/>
  </sheets>
  <definedNames>
    <definedName name="_xlnm._FilterDatabase" localSheetId="0" hidden="1">'KENH NGANG 3'!$E$7:$K$10</definedName>
    <definedName name="A">#REF!</definedName>
    <definedName name="B">#REF!</definedName>
    <definedName name="bang">#REF!</definedName>
    <definedName name="bang1">#REF!</definedName>
    <definedName name="BANG2">#REF!</definedName>
    <definedName name="Excel_BuiltIn_Print_Area">#REF!</definedName>
    <definedName name="Excel_BuiltIn_Print_Titles_1_1">#REF!</definedName>
    <definedName name="Excel_BuiltIn_Print_Titles_1_1_1">#REF!</definedName>
    <definedName name="Excel_BuiltIn_Print_Titles_1_1_2">#REF!</definedName>
    <definedName name="Excel_BuiltIn_Print_Titles_1_2">#REF!</definedName>
    <definedName name="_xlnm.Print_Area" localSheetId="0">'KENH NGANG 3'!$A$1:$X$52</definedName>
    <definedName name="_xlnm.Print_Titles" localSheetId="0">'KENH NGANG 3'!$7:$8</definedName>
    <definedName name="usd">#REF!</definedName>
    <definedName name="usdd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/>
  <c r="B15" i="2" s="1"/>
  <c r="N41" i="2" l="1"/>
  <c r="M42" i="2"/>
  <c r="N42" i="2" s="1"/>
  <c r="M43" i="2" l="1"/>
  <c r="M40" i="2"/>
  <c r="N39" i="2"/>
  <c r="M36" i="2"/>
  <c r="N36" i="2" s="1"/>
  <c r="N35" i="2"/>
  <c r="M31" i="2"/>
  <c r="M32" i="2" s="1"/>
  <c r="M33" i="2" s="1"/>
  <c r="N33" i="2" s="1"/>
  <c r="N30" i="2"/>
  <c r="M27" i="2"/>
  <c r="N27" i="2" s="1"/>
  <c r="N26" i="2"/>
  <c r="M21" i="2"/>
  <c r="M22" i="2" s="1"/>
  <c r="N20" i="2"/>
  <c r="M12" i="2"/>
  <c r="M13" i="2" s="1"/>
  <c r="N11" i="2"/>
  <c r="B45" i="2"/>
  <c r="A46" i="2"/>
  <c r="A47" i="2" s="1"/>
  <c r="B47" i="2" s="1"/>
  <c r="B49" i="2"/>
  <c r="A50" i="2"/>
  <c r="A51" i="2" s="1"/>
  <c r="M44" i="2" l="1"/>
  <c r="N43" i="2"/>
  <c r="B46" i="2"/>
  <c r="B50" i="2"/>
  <c r="N40" i="2"/>
  <c r="N31" i="2"/>
  <c r="M37" i="2"/>
  <c r="N37" i="2" s="1"/>
  <c r="M28" i="2"/>
  <c r="N28" i="2" s="1"/>
  <c r="M23" i="2"/>
  <c r="N22" i="2"/>
  <c r="N13" i="2"/>
  <c r="M14" i="2"/>
  <c r="N12" i="2"/>
  <c r="N21" i="2"/>
  <c r="N32" i="2"/>
  <c r="B51" i="2"/>
  <c r="A52" i="2"/>
  <c r="B52" i="2" s="1"/>
  <c r="M45" i="2" l="1"/>
  <c r="N44" i="2"/>
  <c r="M15" i="2"/>
  <c r="N14" i="2"/>
  <c r="M24" i="2"/>
  <c r="N24" i="2" s="1"/>
  <c r="N23" i="2"/>
  <c r="M46" i="2" l="1"/>
  <c r="N46" i="2" s="1"/>
  <c r="N45" i="2"/>
  <c r="N15" i="2"/>
  <c r="M16" i="2"/>
  <c r="M17" i="2" l="1"/>
  <c r="N17" i="2" s="1"/>
  <c r="M18" i="2"/>
  <c r="N18" i="2"/>
  <c r="N16" i="2"/>
  <c r="A32" i="2"/>
  <c r="B32" i="2" s="1"/>
  <c r="A33" i="2" l="1"/>
  <c r="A34" i="2" s="1"/>
  <c r="A35" i="2" s="1"/>
  <c r="A36" i="2" s="1"/>
  <c r="A37" i="2" s="1"/>
  <c r="A38" i="2" s="1"/>
  <c r="B33" i="2" l="1"/>
  <c r="B40" i="2"/>
  <c r="B31" i="2"/>
  <c r="B24" i="2"/>
  <c r="A41" i="2" l="1"/>
  <c r="B41" i="2" s="1"/>
  <c r="B34" i="2"/>
  <c r="A25" i="2"/>
  <c r="B35" i="2" l="1"/>
  <c r="A26" i="2"/>
  <c r="B26" i="2" s="1"/>
  <c r="B25" i="2"/>
  <c r="A42" i="2"/>
  <c r="B42" i="2" s="1"/>
  <c r="A43" i="2" l="1"/>
  <c r="B43" i="2" s="1"/>
  <c r="B36" i="2"/>
  <c r="A27" i="2"/>
  <c r="B27" i="2" s="1"/>
  <c r="B10" i="2"/>
  <c r="A28" i="2" l="1"/>
  <c r="B28" i="2" s="1"/>
  <c r="A11" i="2"/>
  <c r="B11" i="2" s="1"/>
  <c r="B37" i="2" l="1"/>
  <c r="A29" i="2"/>
  <c r="B29" i="2" s="1"/>
  <c r="A12" i="2"/>
  <c r="B12" i="2" s="1"/>
  <c r="A13" i="2" l="1"/>
  <c r="B13" i="2" s="1"/>
  <c r="B38" i="2"/>
  <c r="A14" i="2" l="1"/>
  <c r="B14" i="2" l="1"/>
</calcChain>
</file>

<file path=xl/sharedStrings.xml><?xml version="1.0" encoding="utf-8"?>
<sst xmlns="http://schemas.openxmlformats.org/spreadsheetml/2006/main" count="110" uniqueCount="98">
  <si>
    <t>I</t>
  </si>
  <si>
    <t>H = Hard copy,  NA = Not Available, S = Soft Copy</t>
  </si>
  <si>
    <t>Type</t>
  </si>
  <si>
    <t>…</t>
  </si>
  <si>
    <t>H</t>
  </si>
  <si>
    <t>II</t>
  </si>
  <si>
    <t>SƠ ĐỒ VỊ TRÍ CÔNG TRÌNH</t>
  </si>
  <si>
    <t>KẾT CẤU PHẦN DƯỚI</t>
  </si>
  <si>
    <t>KẾT CẤU PHẦN TRÊN</t>
  </si>
  <si>
    <t>MẶT BẰNG CÔNG TRƯỜNG</t>
  </si>
  <si>
    <t>PHẦN CHUNG</t>
  </si>
  <si>
    <t>GHI CHÚ CHUNG</t>
  </si>
  <si>
    <t>DANH MỤC BẢN VẼ</t>
  </si>
  <si>
    <t>CẤU TẠO LAN CAN THÉP</t>
  </si>
  <si>
    <t xml:space="preserve">Tên bản vẽ
</t>
  </si>
  <si>
    <t xml:space="preserve">Ký hiệu bản vẽ
</t>
  </si>
  <si>
    <t xml:space="preserve">STT
</t>
  </si>
  <si>
    <t xml:space="preserve">Điều chỉnh
</t>
  </si>
  <si>
    <t xml:space="preserve">Số Tờ
</t>
  </si>
  <si>
    <t xml:space="preserve">TỔ CHỨC THI CÔNG </t>
  </si>
  <si>
    <t>CẤU TẠO GỜ LAN CAN, LỀ BỘ HÀNH</t>
  </si>
  <si>
    <t>BỐ TRÍ CHUNG SÀN GIẢM TẢI</t>
  </si>
  <si>
    <t>CẤU TẠO BẢN QUÁ ĐỘ SAU SÀN GIẢM TẢI</t>
  </si>
  <si>
    <t>THI CÔNG KẾT CẤU NHỊP</t>
  </si>
  <si>
    <t>A</t>
  </si>
  <si>
    <t>B</t>
  </si>
  <si>
    <t>BỐ TRÍ CHUNG MỐ</t>
  </si>
  <si>
    <t>BỐ TRÍ CHUNG TRỤ</t>
  </si>
  <si>
    <t>CẤU TẠO BẢN QUÁ ĐỘ SAU MỐ</t>
  </si>
  <si>
    <t>SƠ ĐỒ BỐ TRÍ GỐI</t>
  </si>
  <si>
    <t>BỐ TRÍ CHUNG DẦM - NHỊP CHÍNH</t>
  </si>
  <si>
    <t xml:space="preserve">CẤU TẠO KHE CO GIÃN </t>
  </si>
  <si>
    <t>C</t>
  </si>
  <si>
    <t>SÀN GIẢM TẢI, TƯỜNG CHẮN</t>
  </si>
  <si>
    <t>BỐ TRÍ CHUNG TƯỜNG CHẮN</t>
  </si>
  <si>
    <t>CHI TIẾT CHIẾU SÁNG</t>
  </si>
  <si>
    <t>CHI TIẾT THOÁT NƯỚC</t>
  </si>
  <si>
    <t>D</t>
  </si>
  <si>
    <t>PHẦN TUYẾN</t>
  </si>
  <si>
    <t>MẶT CẮT NGANG ĐẠI DIỆN VÀ KẾT CẤU ÁO ĐƯỜNG</t>
  </si>
  <si>
    <t>MẶT CẮT NGANG ĐẠI DIỆN BỐ TRÍ VẠCH SƠN</t>
  </si>
  <si>
    <t>MẶT BẰNG TỔ CHỨC GIAO THÔNG</t>
  </si>
  <si>
    <t>BIỂN BÁO GIAO THÔNG THỦY</t>
  </si>
  <si>
    <t>PHẦN THOÁT NƯỚC</t>
  </si>
  <si>
    <t>MẶT CẮT NGANG ĐẠI DIỆN THOÁT NƯỚC</t>
  </si>
  <si>
    <t>BÌNH ĐỒ BỐ TRÍ THOÁT NƯỚC</t>
  </si>
  <si>
    <t>E</t>
  </si>
  <si>
    <t>CHI TIẾT HÀNG RÀO, BIỂN BÁO</t>
  </si>
  <si>
    <t>THI CÔNG MỐ</t>
  </si>
  <si>
    <t>THI CÔNG TRỤ</t>
  </si>
  <si>
    <t>MẶT BẰNG ĐẢO BẢO GIAO THÔNG THỦY</t>
  </si>
  <si>
    <t>MẶT CẮT NGANG ĐẠI DIỆN</t>
  </si>
  <si>
    <t>KHU QUẢN LÝ GIAO THÔNG ĐÔ THỊ SỐ 4</t>
  </si>
  <si>
    <t>DỰ ÁN : XÂY DỰNG CẦU KÊNH NGANG SỐ 3 (ĐƯỜNG LƯU HỮU PHƯỚC)</t>
  </si>
  <si>
    <t>ĐỊA ĐIỂM: QUẬN 8 - TP. HỒ CHÍ MINH</t>
  </si>
  <si>
    <t>BƯỚC THIẾT KẾ: THIẾT KẾ CƠ SỞ</t>
  </si>
  <si>
    <t>BỐ TRÍ CHUNG CẦU KÊNH NGANG SỐ 3 HIỆN HỮU</t>
  </si>
  <si>
    <t>PHẦN CẦU</t>
  </si>
  <si>
    <t>CỌC KHOAN NHỒI d=1500mm</t>
  </si>
  <si>
    <t>CẤU TẠO CỌC BTCT (300x300)mm</t>
  </si>
  <si>
    <t>PHẦN ĐƯỜNG</t>
  </si>
  <si>
    <t>MĂT CẮT NGANG ĐẠI DIỆN XỬ LÝ NỀN</t>
  </si>
  <si>
    <t>BÌNH ĐỒ - TRẮC DỌC TUYẾN</t>
  </si>
  <si>
    <t>TRẮC NGANG CHI TIẾT</t>
  </si>
  <si>
    <t>PHẦN HÀO KỸ THUẬT</t>
  </si>
  <si>
    <t>MẶT BẰNG BỐ TRÍ HÀO KỸ THUẬT</t>
  </si>
  <si>
    <t>MẶT CẮT NGANG ĐẠI DIỆN BỐ TRÍ HÀO KỸ THUẬT</t>
  </si>
  <si>
    <t>CẤU TẠO HÀO KỸ THUẬT</t>
  </si>
  <si>
    <t>F</t>
  </si>
  <si>
    <t>PHẦN CHIẾU SÁNG</t>
  </si>
  <si>
    <t>MẶT CẮT NGANG ĐẠI DIỆN CHIẾU SÁNG</t>
  </si>
  <si>
    <t>MẶT BẰNG BỐ TRÍ CHIẾU SÁNG</t>
  </si>
  <si>
    <t>SƠ ĐỒ NGUYÊN LÝ</t>
  </si>
  <si>
    <t>G</t>
  </si>
  <si>
    <t>BỐ TRÍ CÁP DƯL NHỊP CHÍNH</t>
  </si>
  <si>
    <t xml:space="preserve">MẶT CẮT NGANG ĐẠI DIỆN CỐT THÉP THƯỜNG </t>
  </si>
  <si>
    <t>BỐ TRÍ CHUNG DẦM T NGƯỢC L=25m</t>
  </si>
  <si>
    <t>CẦU THANG BỘ HÀNH</t>
  </si>
  <si>
    <t>BỐ TRÍ CHUNG CẦU THANG</t>
  </si>
  <si>
    <t>K</t>
  </si>
  <si>
    <t>PHẦN CÂY XANH</t>
  </si>
  <si>
    <t>MẶT CẮT NGANG ĐẠI DIỆN CÂY XANH</t>
  </si>
  <si>
    <t>MẶT BẰNG BỐ TRÍ CÂY XANH</t>
  </si>
  <si>
    <t>L</t>
  </si>
  <si>
    <t>KÈ BẢO VỆ BỜ</t>
  </si>
  <si>
    <t>MẶT CẮT NGANG ĐẠI DIỆN KÈ DỰ ỨNG LỰC</t>
  </si>
  <si>
    <t>MẶT BẰNG KÈ DỰ ỨNG LỰC</t>
  </si>
  <si>
    <t>CẤU TẠO KÈ DỰ ỨNG LỰC</t>
  </si>
  <si>
    <t>CỌC KHOAN NHỒI d=1000mm</t>
  </si>
  <si>
    <t xml:space="preserve">CẤU TẠO ỐNG CỐNG D300, D600, D1200, D1500 </t>
  </si>
  <si>
    <t xml:space="preserve">CẤU TẠO MÓNG CỐNG D300, D600, D1200, D1500 </t>
  </si>
  <si>
    <t xml:space="preserve">CẤU TẠO GIẾNG THU D300, D600, D1200, D1500 </t>
  </si>
  <si>
    <t>CHI TIẾT BỒN CÂY</t>
  </si>
  <si>
    <t>TIẾN ĐỘ THI CÔNG</t>
  </si>
  <si>
    <t>CHI TIẾT VẠCH SƠN BIỂN BÁO</t>
  </si>
  <si>
    <t>MẶT BẰNG TỔ CHỨC GIAO THÔNG TRONG QUÁ TRÌNH THI CÔNG</t>
  </si>
  <si>
    <t>BỐ TRÍ CHUNG CẦU</t>
  </si>
  <si>
    <t>BÌNH ĐỒ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</si>
</sst>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PC-&quot;000"/>
    <numFmt numFmtId="165" formatCode="&quot;KCPD-&quot;000"/>
    <numFmt numFmtId="166" formatCode="&quot;KCPT-&quot;000"/>
    <numFmt numFmtId="167" formatCode="&quot;SGT-&quot;000"/>
    <numFmt numFmtId="168" formatCode="&quot;PT-&quot;000"/>
    <numFmt numFmtId="169" formatCode="&quot;PTN-&quot;000"/>
    <numFmt numFmtId="170" formatCode="&quot;HKT-&quot;000"/>
    <numFmt numFmtId="171" formatCode="&quot;CS-&quot;000"/>
    <numFmt numFmtId="172" formatCode="&quot;TCTC-&quot;000"/>
    <numFmt numFmtId="173" formatCode="&quot;PCT-&quot;000"/>
    <numFmt numFmtId="174" formatCode="&quot;CX-&quot;000"/>
    <numFmt numFmtId="175" formatCode="&quot;KBV-&quot;000"/>
  </numFmts>
  <fonts count="15" x14ac:knownFonts="1">
    <font>
      <sz val="10"/>
      <name val="Arial"/>
      <family val="2"/>
    </font>
    <font>
      <sz val="8"/>
      <name val="Arial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i/>
      <sz val="11"/>
      <name val="Tahoma"/>
      <family val="2"/>
    </font>
    <font>
      <sz val="11"/>
      <color theme="1"/>
      <name val="VNI-Helve-Condense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Tahoma"/>
      <family val="2"/>
    </font>
    <font>
      <b/>
      <sz val="15"/>
      <color indexed="8"/>
      <name val="Tahoma"/>
      <family val="2"/>
    </font>
    <font>
      <sz val="10"/>
      <name val="VNI-Times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double">
        <color indexed="64"/>
      </right>
      <top style="hair">
        <color indexed="64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129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justify" vertical="center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5" fontId="4" fillId="0" borderId="0" xfId="0" applyNumberFormat="1" applyFont="1"/>
    <xf numFmtId="15" fontId="4" fillId="0" borderId="0" xfId="0" applyNumberFormat="1" applyFont="1" applyAlignment="1">
      <alignment horizontal="left" wrapText="1"/>
    </xf>
    <xf numFmtId="15" fontId="4" fillId="0" borderId="0" xfId="0" applyNumberFormat="1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2" fillId="0" borderId="0" xfId="0" applyFont="1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4" fillId="0" borderId="0" xfId="0" applyNumberFormat="1" applyFont="1" applyAlignment="1" applyProtection="1">
      <alignment horizontal="center" wrapText="1"/>
      <protection locked="0"/>
    </xf>
    <xf numFmtId="0" fontId="8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4" xfId="0" quotePrefix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3" xfId="0" quotePrefix="1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49" fontId="8" fillId="2" borderId="22" xfId="0" quotePrefix="1" applyNumberFormat="1" applyFont="1" applyFill="1" applyBorder="1" applyAlignment="1">
      <alignment horizontal="center" vertical="center" wrapText="1"/>
    </xf>
    <xf numFmtId="49" fontId="8" fillId="2" borderId="19" xfId="0" quotePrefix="1" applyNumberFormat="1" applyFont="1" applyFill="1" applyBorder="1" applyAlignment="1">
      <alignment horizontal="center" vertical="center" wrapText="1"/>
    </xf>
    <xf numFmtId="0" fontId="8" fillId="0" borderId="24" xfId="0" applyFont="1" applyBorder="1" applyAlignment="1" applyProtection="1">
      <alignment horizontal="center" vertical="center"/>
      <protection locked="0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/>
    </xf>
    <xf numFmtId="49" fontId="8" fillId="2" borderId="31" xfId="0" quotePrefix="1" applyNumberFormat="1" applyFont="1" applyFill="1" applyBorder="1" applyAlignment="1">
      <alignment horizontal="center" vertical="center" wrapText="1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30" xfId="0" quotePrefix="1" applyFont="1" applyBorder="1" applyAlignment="1">
      <alignment horizontal="center" vertical="center"/>
    </xf>
    <xf numFmtId="0" fontId="8" fillId="0" borderId="32" xfId="0" quotePrefix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8" fillId="2" borderId="2" xfId="0" quotePrefix="1" applyNumberFormat="1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24" xfId="0" quotePrefix="1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164" fontId="8" fillId="3" borderId="3" xfId="0" applyNumberFormat="1" applyFont="1" applyFill="1" applyBorder="1" applyAlignment="1">
      <alignment horizontal="left" vertical="center"/>
    </xf>
    <xf numFmtId="165" fontId="8" fillId="3" borderId="3" xfId="0" applyNumberFormat="1" applyFont="1" applyFill="1" applyBorder="1" applyAlignment="1">
      <alignment horizontal="left" vertical="center"/>
    </xf>
    <xf numFmtId="165" fontId="8" fillId="3" borderId="4" xfId="0" applyNumberFormat="1" applyFont="1" applyFill="1" applyBorder="1" applyAlignment="1">
      <alignment horizontal="left" vertical="center"/>
    </xf>
    <xf numFmtId="166" fontId="8" fillId="3" borderId="3" xfId="0" applyNumberFormat="1" applyFont="1" applyFill="1" applyBorder="1" applyAlignment="1">
      <alignment horizontal="left" vertical="center"/>
    </xf>
    <xf numFmtId="166" fontId="8" fillId="3" borderId="4" xfId="0" applyNumberFormat="1" applyFont="1" applyFill="1" applyBorder="1" applyAlignment="1">
      <alignment horizontal="left" vertical="center"/>
    </xf>
    <xf numFmtId="167" fontId="8" fillId="3" borderId="3" xfId="0" applyNumberFormat="1" applyFont="1" applyFill="1" applyBorder="1" applyAlignment="1">
      <alignment horizontal="left" vertical="center"/>
    </xf>
    <xf numFmtId="167" fontId="8" fillId="3" borderId="4" xfId="0" applyNumberFormat="1" applyFont="1" applyFill="1" applyBorder="1" applyAlignment="1">
      <alignment horizontal="left" vertical="center"/>
    </xf>
    <xf numFmtId="168" fontId="8" fillId="3" borderId="3" xfId="0" applyNumberFormat="1" applyFont="1" applyFill="1" applyBorder="1" applyAlignment="1">
      <alignment horizontal="left" vertical="center"/>
    </xf>
    <xf numFmtId="168" fontId="8" fillId="3" borderId="24" xfId="0" applyNumberFormat="1" applyFont="1" applyFill="1" applyBorder="1" applyAlignment="1">
      <alignment horizontal="left" vertical="center"/>
    </xf>
    <xf numFmtId="169" fontId="8" fillId="3" borderId="3" xfId="0" applyNumberFormat="1" applyFont="1" applyFill="1" applyBorder="1" applyAlignment="1">
      <alignment horizontal="left" vertical="center"/>
    </xf>
    <xf numFmtId="170" fontId="8" fillId="3" borderId="3" xfId="0" applyNumberFormat="1" applyFont="1" applyFill="1" applyBorder="1" applyAlignment="1">
      <alignment horizontal="left" vertical="center"/>
    </xf>
    <xf numFmtId="171" fontId="8" fillId="3" borderId="3" xfId="0" applyNumberFormat="1" applyFont="1" applyFill="1" applyBorder="1" applyAlignment="1">
      <alignment horizontal="left" vertical="center"/>
    </xf>
    <xf numFmtId="172" fontId="8" fillId="3" borderId="3" xfId="0" applyNumberFormat="1" applyFont="1" applyFill="1" applyBorder="1" applyAlignment="1">
      <alignment horizontal="left" vertical="center"/>
    </xf>
    <xf numFmtId="173" fontId="8" fillId="3" borderId="3" xfId="0" applyNumberFormat="1" applyFont="1" applyFill="1" applyBorder="1" applyAlignment="1">
      <alignment horizontal="left" vertical="center"/>
    </xf>
    <xf numFmtId="0" fontId="9" fillId="0" borderId="15" xfId="0" quotePrefix="1" applyFont="1" applyBorder="1" applyAlignment="1">
      <alignment horizontal="center" vertical="center"/>
    </xf>
    <xf numFmtId="174" fontId="8" fillId="3" borderId="3" xfId="0" applyNumberFormat="1" applyFont="1" applyFill="1" applyBorder="1" applyAlignment="1">
      <alignment horizontal="left" vertical="center"/>
    </xf>
    <xf numFmtId="175" fontId="8" fillId="3" borderId="3" xfId="0" applyNumberFormat="1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22" xfId="0" applyFont="1" applyBorder="1" applyAlignment="1">
      <alignment vertical="center"/>
    </xf>
    <xf numFmtId="0" fontId="8" fillId="0" borderId="39" xfId="0" applyFont="1" applyBorder="1" applyAlignment="1">
      <alignment horizontal="center" vertical="center"/>
    </xf>
    <xf numFmtId="172" fontId="8" fillId="3" borderId="30" xfId="0" applyNumberFormat="1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75" fontId="8" fillId="3" borderId="30" xfId="0" applyNumberFormat="1" applyFont="1" applyFill="1" applyBorder="1" applyAlignment="1">
      <alignment horizontal="left" vertical="center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19" xfId="0" applyFont="1" applyBorder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1" fillId="0" borderId="25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07"/>
  <sheetViews>
    <sheetView tabSelected="1" view="pageBreakPreview" topLeftCell="A7" zoomScale="70" zoomScaleNormal="85" zoomScaleSheetLayoutView="70" workbookViewId="0">
      <selection activeCell="C11" sqref="C11"/>
    </sheetView>
  </sheetViews>
  <sheetFormatPr defaultColWidth="9" defaultRowHeight="30" customHeight="1" x14ac:dyDescent="0.2"/>
  <cols>
    <col min="1" max="1" width="6.7109375" style="2" customWidth="1"/>
    <col min="2" max="2" width="23.7109375" style="2" customWidth="1"/>
    <col min="3" max="3" width="65.7109375" style="16" customWidth="1"/>
    <col min="4" max="4" width="7.7109375" style="31" customWidth="1"/>
    <col min="5" max="11" width="5.7109375" style="4" customWidth="1"/>
    <col min="12" max="12" width="24.5703125" style="2" customWidth="1"/>
    <col min="13" max="13" width="6.7109375" style="2" customWidth="1"/>
    <col min="14" max="14" width="23.7109375" style="2" customWidth="1"/>
    <col min="15" max="15" width="65.7109375" style="2" customWidth="1"/>
    <col min="16" max="16" width="7.7109375" style="2" customWidth="1"/>
    <col min="17" max="23" width="5.7109375" style="2" customWidth="1"/>
    <col min="24" max="16384" width="9" style="2"/>
  </cols>
  <sheetData>
    <row r="1" spans="1:23" s="1" customFormat="1" ht="21" customHeight="1" x14ac:dyDescent="0.2">
      <c r="A1" s="120" t="s">
        <v>52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</row>
    <row r="2" spans="1:23" s="101" customFormat="1" ht="24.75" customHeight="1" x14ac:dyDescent="0.2">
      <c r="A2" s="121" t="s">
        <v>12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</row>
    <row r="3" spans="1:23" s="1" customFormat="1" ht="32.25" customHeight="1" x14ac:dyDescent="0.2">
      <c r="A3" s="122" t="s">
        <v>53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</row>
    <row r="4" spans="1:23" s="1" customFormat="1" ht="32.25" customHeight="1" x14ac:dyDescent="0.2">
      <c r="A4" s="122" t="s">
        <v>54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</row>
    <row r="5" spans="1:23" s="1" customFormat="1" ht="28.5" customHeight="1" x14ac:dyDescent="0.2">
      <c r="A5" s="122" t="s">
        <v>55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</row>
    <row r="6" spans="1:23" s="1" customFormat="1" ht="18" customHeight="1" thickBot="1" x14ac:dyDescent="0.25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</row>
    <row r="7" spans="1:23" s="8" customFormat="1" ht="32.25" customHeight="1" thickTop="1" x14ac:dyDescent="0.2">
      <c r="A7" s="115" t="s">
        <v>16</v>
      </c>
      <c r="B7" s="117" t="s">
        <v>15</v>
      </c>
      <c r="C7" s="117" t="s">
        <v>14</v>
      </c>
      <c r="D7" s="113" t="s">
        <v>18</v>
      </c>
      <c r="E7" s="103" t="s">
        <v>17</v>
      </c>
      <c r="F7" s="104"/>
      <c r="G7" s="104"/>
      <c r="H7" s="104"/>
      <c r="I7" s="104"/>
      <c r="J7" s="104"/>
      <c r="K7" s="105"/>
      <c r="M7" s="115" t="s">
        <v>16</v>
      </c>
      <c r="N7" s="117" t="s">
        <v>15</v>
      </c>
      <c r="O7" s="117" t="s">
        <v>14</v>
      </c>
      <c r="P7" s="113" t="s">
        <v>18</v>
      </c>
      <c r="Q7" s="103" t="s">
        <v>17</v>
      </c>
      <c r="R7" s="104"/>
      <c r="S7" s="104"/>
      <c r="T7" s="104"/>
      <c r="U7" s="104"/>
      <c r="V7" s="104"/>
      <c r="W7" s="105"/>
    </row>
    <row r="8" spans="1:23" ht="20.25" customHeight="1" x14ac:dyDescent="0.2">
      <c r="A8" s="116"/>
      <c r="B8" s="118"/>
      <c r="C8" s="119"/>
      <c r="D8" s="114"/>
      <c r="E8" s="53">
        <v>0</v>
      </c>
      <c r="F8" s="53">
        <v>1</v>
      </c>
      <c r="G8" s="53">
        <v>2</v>
      </c>
      <c r="H8" s="53">
        <v>3</v>
      </c>
      <c r="I8" s="53">
        <v>4</v>
      </c>
      <c r="J8" s="53">
        <v>5</v>
      </c>
      <c r="K8" s="35" t="s">
        <v>3</v>
      </c>
      <c r="M8" s="116"/>
      <c r="N8" s="118"/>
      <c r="O8" s="119"/>
      <c r="P8" s="114"/>
      <c r="Q8" s="53">
        <v>0</v>
      </c>
      <c r="R8" s="53">
        <v>1</v>
      </c>
      <c r="S8" s="53">
        <v>2</v>
      </c>
      <c r="T8" s="53">
        <v>3</v>
      </c>
      <c r="U8" s="53">
        <v>4</v>
      </c>
      <c r="V8" s="53">
        <v>5</v>
      </c>
      <c r="W8" s="35" t="s">
        <v>3</v>
      </c>
    </row>
    <row r="9" spans="1:23" ht="20.25" customHeight="1" x14ac:dyDescent="0.2">
      <c r="A9" s="36" t="s">
        <v>24</v>
      </c>
      <c r="B9" s="107" t="s">
        <v>10</v>
      </c>
      <c r="C9" s="108"/>
      <c r="D9" s="108"/>
      <c r="E9" s="108"/>
      <c r="F9" s="108"/>
      <c r="G9" s="108"/>
      <c r="H9" s="108"/>
      <c r="I9" s="108"/>
      <c r="J9" s="108"/>
      <c r="K9" s="109"/>
      <c r="M9" s="59" t="s">
        <v>68</v>
      </c>
      <c r="N9" s="123" t="s">
        <v>60</v>
      </c>
      <c r="O9" s="124"/>
      <c r="P9" s="124"/>
      <c r="Q9" s="124"/>
      <c r="R9" s="124"/>
      <c r="S9" s="124"/>
      <c r="T9" s="124"/>
      <c r="U9" s="124"/>
      <c r="V9" s="124"/>
      <c r="W9" s="125"/>
    </row>
    <row r="10" spans="1:23" ht="20.25" customHeight="1" x14ac:dyDescent="0.2">
      <c r="A10" s="41">
        <v>1</v>
      </c>
      <c r="B10" s="67">
        <f t="shared" ref="B10:B21" si="0">A10*10</f>
        <v>10</v>
      </c>
      <c r="C10" s="45" t="s">
        <v>6</v>
      </c>
      <c r="D10" s="47"/>
      <c r="E10" s="42">
        <v>0</v>
      </c>
      <c r="F10" s="42"/>
      <c r="G10" s="43"/>
      <c r="H10" s="43"/>
      <c r="I10" s="43"/>
      <c r="J10" s="43"/>
      <c r="K10" s="44"/>
      <c r="M10" s="36" t="s">
        <v>0</v>
      </c>
      <c r="N10" s="84" t="s">
        <v>38</v>
      </c>
      <c r="O10" s="85"/>
      <c r="P10" s="85"/>
      <c r="Q10" s="85"/>
      <c r="R10" s="85"/>
      <c r="S10" s="85"/>
      <c r="T10" s="85"/>
      <c r="U10" s="85"/>
      <c r="V10" s="85"/>
      <c r="W10" s="86"/>
    </row>
    <row r="11" spans="1:23" ht="20.25" customHeight="1" x14ac:dyDescent="0.2">
      <c r="A11" s="41">
        <f t="shared" ref="A11:A21" si="1">A10+1</f>
        <v>2</v>
      </c>
      <c r="B11" s="67">
        <f t="shared" si="0"/>
        <v>20</v>
      </c>
      <c r="C11" s="45" t="s">
        <v>11</v>
      </c>
      <c r="D11" s="47"/>
      <c r="E11" s="42">
        <v>0</v>
      </c>
      <c r="F11" s="42"/>
      <c r="G11" s="43"/>
      <c r="H11" s="43"/>
      <c r="I11" s="43"/>
      <c r="J11" s="43"/>
      <c r="K11" s="44"/>
      <c r="M11" s="41">
        <v>1</v>
      </c>
      <c r="N11" s="74">
        <f>M11*10</f>
        <v>10</v>
      </c>
      <c r="O11" s="45" t="s">
        <v>39</v>
      </c>
      <c r="P11" s="47"/>
      <c r="Q11" s="42">
        <v>0</v>
      </c>
      <c r="R11" s="42"/>
      <c r="S11" s="43"/>
      <c r="T11" s="43"/>
      <c r="U11" s="43"/>
      <c r="V11" s="43"/>
      <c r="W11" s="44"/>
    </row>
    <row r="12" spans="1:23" ht="20.25" customHeight="1" x14ac:dyDescent="0.2">
      <c r="A12" s="41">
        <f t="shared" si="1"/>
        <v>3</v>
      </c>
      <c r="B12" s="67">
        <f t="shared" si="0"/>
        <v>30</v>
      </c>
      <c r="C12" s="45" t="s">
        <v>51</v>
      </c>
      <c r="D12" s="47"/>
      <c r="E12" s="42">
        <v>0</v>
      </c>
      <c r="F12" s="42"/>
      <c r="G12" s="43"/>
      <c r="H12" s="43"/>
      <c r="I12" s="43"/>
      <c r="J12" s="43"/>
      <c r="K12" s="44"/>
      <c r="M12" s="41">
        <f>+M11+1</f>
        <v>2</v>
      </c>
      <c r="N12" s="74">
        <f t="shared" ref="N12:N18" si="2">M12*10</f>
        <v>20</v>
      </c>
      <c r="O12" s="45" t="s">
        <v>62</v>
      </c>
      <c r="P12" s="96"/>
      <c r="Q12" s="42">
        <v>0</v>
      </c>
      <c r="R12" s="42"/>
      <c r="S12" s="43"/>
      <c r="T12" s="43"/>
      <c r="U12" s="43"/>
      <c r="V12" s="43"/>
      <c r="W12" s="44"/>
    </row>
    <row r="13" spans="1:23" s="7" customFormat="1" ht="24.75" customHeight="1" x14ac:dyDescent="0.2">
      <c r="A13" s="41">
        <f t="shared" si="1"/>
        <v>4</v>
      </c>
      <c r="B13" s="67">
        <f t="shared" si="0"/>
        <v>40</v>
      </c>
      <c r="C13" s="45" t="s">
        <v>56</v>
      </c>
      <c r="D13" s="47"/>
      <c r="E13" s="42">
        <v>0</v>
      </c>
      <c r="F13" s="42"/>
      <c r="G13" s="43"/>
      <c r="H13" s="43"/>
      <c r="I13" s="43"/>
      <c r="J13" s="43"/>
      <c r="K13" s="44"/>
      <c r="M13" s="41">
        <f t="shared" ref="M13:M14" si="3">+M12+1</f>
        <v>3</v>
      </c>
      <c r="N13" s="74">
        <f t="shared" si="2"/>
        <v>30</v>
      </c>
      <c r="O13" s="45" t="s">
        <v>63</v>
      </c>
      <c r="P13" s="96"/>
      <c r="Q13" s="42">
        <v>0</v>
      </c>
      <c r="R13" s="42"/>
      <c r="S13" s="43"/>
      <c r="T13" s="43"/>
      <c r="U13" s="43"/>
      <c r="V13" s="43"/>
      <c r="W13" s="44"/>
    </row>
    <row r="14" spans="1:23" s="7" customFormat="1" ht="24.75" customHeight="1" x14ac:dyDescent="0.2">
      <c r="A14" s="41">
        <f t="shared" si="1"/>
        <v>5</v>
      </c>
      <c r="B14" s="67">
        <f t="shared" si="0"/>
        <v>50</v>
      </c>
      <c r="C14" s="45" t="s">
        <v>97</v>
      </c>
      <c r="D14" s="47"/>
      <c r="E14" s="42">
        <v>0</v>
      </c>
      <c r="F14" s="42"/>
      <c r="G14" s="43"/>
      <c r="H14" s="43"/>
      <c r="I14" s="43"/>
      <c r="J14" s="43"/>
      <c r="K14" s="44"/>
      <c r="M14" s="41">
        <f t="shared" si="3"/>
        <v>4</v>
      </c>
      <c r="N14" s="74">
        <f t="shared" si="2"/>
        <v>40</v>
      </c>
      <c r="O14" s="45" t="s">
        <v>61</v>
      </c>
      <c r="P14" s="47"/>
      <c r="Q14" s="42">
        <v>0</v>
      </c>
      <c r="R14" s="42"/>
      <c r="S14" s="43"/>
      <c r="T14" s="43"/>
      <c r="U14" s="43"/>
      <c r="V14" s="43"/>
      <c r="W14" s="44"/>
    </row>
    <row r="15" spans="1:23" s="7" customFormat="1" ht="24.75" customHeight="1" x14ac:dyDescent="0.2">
      <c r="A15" s="41">
        <f t="shared" si="1"/>
        <v>6</v>
      </c>
      <c r="B15" s="67">
        <f t="shared" ref="B15" si="4">A15*10</f>
        <v>60</v>
      </c>
      <c r="C15" s="45" t="s">
        <v>96</v>
      </c>
      <c r="D15" s="47"/>
      <c r="E15" s="42">
        <v>0</v>
      </c>
      <c r="F15" s="42"/>
      <c r="G15" s="43"/>
      <c r="H15" s="43"/>
      <c r="I15" s="43"/>
      <c r="J15" s="43"/>
      <c r="K15" s="44"/>
      <c r="M15" s="41">
        <f>M14+1</f>
        <v>5</v>
      </c>
      <c r="N15" s="74">
        <f t="shared" si="2"/>
        <v>50</v>
      </c>
      <c r="O15" s="45" t="s">
        <v>40</v>
      </c>
      <c r="P15" s="45"/>
      <c r="Q15" s="42">
        <v>0</v>
      </c>
      <c r="R15" s="42"/>
      <c r="S15" s="43"/>
      <c r="T15" s="43"/>
      <c r="U15" s="43"/>
      <c r="V15" s="43"/>
      <c r="W15" s="44"/>
    </row>
    <row r="16" spans="1:23" s="7" customFormat="1" ht="24.75" customHeight="1" x14ac:dyDescent="0.2">
      <c r="A16" s="41"/>
      <c r="B16" s="67"/>
      <c r="C16" s="45"/>
      <c r="D16" s="47"/>
      <c r="E16" s="42"/>
      <c r="F16" s="42"/>
      <c r="G16" s="43"/>
      <c r="H16" s="43"/>
      <c r="I16" s="43"/>
      <c r="J16" s="43"/>
      <c r="K16" s="44"/>
      <c r="M16" s="41">
        <f>+M15+1</f>
        <v>6</v>
      </c>
      <c r="N16" s="74">
        <f t="shared" si="2"/>
        <v>60</v>
      </c>
      <c r="O16" s="45" t="s">
        <v>41</v>
      </c>
      <c r="P16" s="45"/>
      <c r="Q16" s="42">
        <v>0</v>
      </c>
      <c r="R16" s="42"/>
      <c r="S16" s="43"/>
      <c r="T16" s="43"/>
      <c r="U16" s="43"/>
      <c r="V16" s="43"/>
      <c r="W16" s="44"/>
    </row>
    <row r="17" spans="1:23" s="7" customFormat="1" ht="24.75" customHeight="1" x14ac:dyDescent="0.2">
      <c r="A17" s="41"/>
      <c r="B17" s="67"/>
      <c r="C17" s="45"/>
      <c r="D17" s="47"/>
      <c r="E17" s="42"/>
      <c r="F17" s="42"/>
      <c r="G17" s="43"/>
      <c r="H17" s="43"/>
      <c r="I17" s="43"/>
      <c r="J17" s="43"/>
      <c r="K17" s="44"/>
      <c r="M17" s="41">
        <f>+M16+1</f>
        <v>7</v>
      </c>
      <c r="N17" s="74">
        <f t="shared" ref="N17" si="5">M17*10</f>
        <v>70</v>
      </c>
      <c r="O17" s="45" t="s">
        <v>94</v>
      </c>
      <c r="P17" s="45"/>
      <c r="Q17" s="42">
        <v>0</v>
      </c>
      <c r="R17" s="42"/>
      <c r="S17" s="43"/>
      <c r="T17" s="43"/>
      <c r="U17" s="43"/>
      <c r="V17" s="43"/>
      <c r="W17" s="44"/>
    </row>
    <row r="18" spans="1:23" s="7" customFormat="1" ht="24.75" customHeight="1" x14ac:dyDescent="0.2">
      <c r="A18" s="41"/>
      <c r="B18" s="67"/>
      <c r="C18" s="45"/>
      <c r="D18" s="47"/>
      <c r="E18" s="42"/>
      <c r="F18" s="42"/>
      <c r="G18" s="43"/>
      <c r="H18" s="43"/>
      <c r="I18" s="43"/>
      <c r="J18" s="43"/>
      <c r="K18" s="44"/>
      <c r="M18" s="61">
        <f>M16+2</f>
        <v>8</v>
      </c>
      <c r="N18" s="75">
        <f t="shared" si="2"/>
        <v>80</v>
      </c>
      <c r="O18" s="46" t="s">
        <v>42</v>
      </c>
      <c r="P18" s="46"/>
      <c r="Q18" s="48">
        <v>0</v>
      </c>
      <c r="R18" s="38"/>
      <c r="S18" s="39"/>
      <c r="T18" s="39"/>
      <c r="U18" s="39"/>
      <c r="V18" s="39"/>
      <c r="W18" s="40"/>
    </row>
    <row r="19" spans="1:23" s="7" customFormat="1" ht="24.75" customHeight="1" x14ac:dyDescent="0.2">
      <c r="A19" s="41"/>
      <c r="B19" s="67"/>
      <c r="C19" s="45"/>
      <c r="D19" s="47"/>
      <c r="E19" s="42"/>
      <c r="F19" s="42"/>
      <c r="G19" s="43"/>
      <c r="H19" s="43"/>
      <c r="I19" s="43"/>
      <c r="J19" s="43"/>
      <c r="K19" s="44"/>
      <c r="M19" s="36" t="s">
        <v>5</v>
      </c>
      <c r="N19" s="87" t="s">
        <v>43</v>
      </c>
      <c r="O19" s="85"/>
      <c r="P19" s="85"/>
      <c r="Q19" s="49">
        <v>0</v>
      </c>
      <c r="R19" s="85"/>
      <c r="S19" s="85"/>
      <c r="T19" s="85"/>
      <c r="U19" s="85"/>
      <c r="V19" s="85"/>
      <c r="W19" s="86"/>
    </row>
    <row r="20" spans="1:23" s="7" customFormat="1" ht="24.75" customHeight="1" x14ac:dyDescent="0.2">
      <c r="A20" s="41"/>
      <c r="B20" s="67"/>
      <c r="C20" s="64"/>
      <c r="D20" s="47"/>
      <c r="E20" s="42"/>
      <c r="F20" s="42"/>
      <c r="G20" s="43"/>
      <c r="H20" s="43"/>
      <c r="I20" s="43"/>
      <c r="J20" s="43"/>
      <c r="K20" s="44"/>
      <c r="M20" s="41">
        <v>1</v>
      </c>
      <c r="N20" s="76">
        <f>M20*10</f>
        <v>10</v>
      </c>
      <c r="O20" s="45" t="s">
        <v>44</v>
      </c>
      <c r="P20" s="47"/>
      <c r="Q20" s="60">
        <v>0</v>
      </c>
      <c r="R20" s="42"/>
      <c r="S20" s="43"/>
      <c r="T20" s="43"/>
      <c r="U20" s="43"/>
      <c r="V20" s="43"/>
      <c r="W20" s="44"/>
    </row>
    <row r="21" spans="1:23" s="7" customFormat="1" ht="24.75" customHeight="1" x14ac:dyDescent="0.2">
      <c r="A21" s="99"/>
      <c r="B21" s="67"/>
      <c r="C21" s="46"/>
      <c r="D21" s="48"/>
      <c r="E21" s="38"/>
      <c r="F21" s="38"/>
      <c r="G21" s="39"/>
      <c r="H21" s="39"/>
      <c r="I21" s="39"/>
      <c r="J21" s="39"/>
      <c r="K21" s="40"/>
      <c r="M21" s="41">
        <f>+M20+1</f>
        <v>2</v>
      </c>
      <c r="N21" s="76">
        <f t="shared" ref="N21:N24" si="6">M21*10</f>
        <v>20</v>
      </c>
      <c r="O21" s="45" t="s">
        <v>45</v>
      </c>
      <c r="P21" s="47"/>
      <c r="Q21" s="42">
        <v>0</v>
      </c>
      <c r="R21" s="42"/>
      <c r="S21" s="43"/>
      <c r="T21" s="43"/>
      <c r="U21" s="43"/>
      <c r="V21" s="43"/>
      <c r="W21" s="44"/>
    </row>
    <row r="22" spans="1:23" s="7" customFormat="1" ht="24.75" customHeight="1" x14ac:dyDescent="0.2">
      <c r="A22" s="59" t="s">
        <v>25</v>
      </c>
      <c r="B22" s="107" t="s">
        <v>57</v>
      </c>
      <c r="C22" s="108"/>
      <c r="D22" s="108"/>
      <c r="E22" s="108"/>
      <c r="F22" s="108"/>
      <c r="G22" s="108"/>
      <c r="H22" s="108"/>
      <c r="I22" s="108"/>
      <c r="J22" s="108"/>
      <c r="K22" s="109"/>
      <c r="M22" s="41">
        <f t="shared" ref="M22:M24" si="7">+M21+1</f>
        <v>3</v>
      </c>
      <c r="N22" s="76">
        <f t="shared" si="6"/>
        <v>30</v>
      </c>
      <c r="O22" s="45" t="s">
        <v>89</v>
      </c>
      <c r="P22" s="47"/>
      <c r="Q22" s="42">
        <v>0</v>
      </c>
      <c r="R22" s="42"/>
      <c r="S22" s="43"/>
      <c r="T22" s="43"/>
      <c r="U22" s="43"/>
      <c r="V22" s="43"/>
      <c r="W22" s="44"/>
    </row>
    <row r="23" spans="1:23" s="7" customFormat="1" ht="24.75" customHeight="1" x14ac:dyDescent="0.2">
      <c r="A23" s="36" t="s">
        <v>0</v>
      </c>
      <c r="B23" s="107" t="s">
        <v>7</v>
      </c>
      <c r="C23" s="108"/>
      <c r="D23" s="108"/>
      <c r="E23" s="108"/>
      <c r="F23" s="108"/>
      <c r="G23" s="108"/>
      <c r="H23" s="108"/>
      <c r="I23" s="108"/>
      <c r="J23" s="108"/>
      <c r="K23" s="109"/>
      <c r="M23" s="41">
        <f t="shared" si="7"/>
        <v>4</v>
      </c>
      <c r="N23" s="76">
        <f t="shared" si="6"/>
        <v>40</v>
      </c>
      <c r="O23" s="45" t="s">
        <v>90</v>
      </c>
      <c r="P23" s="47"/>
      <c r="Q23" s="42">
        <v>0</v>
      </c>
      <c r="R23" s="42"/>
      <c r="S23" s="43"/>
      <c r="T23" s="43"/>
      <c r="U23" s="43"/>
      <c r="V23" s="43"/>
      <c r="W23" s="44"/>
    </row>
    <row r="24" spans="1:23" s="7" customFormat="1" ht="24.75" customHeight="1" x14ac:dyDescent="0.2">
      <c r="A24" s="41">
        <v>1</v>
      </c>
      <c r="B24" s="68">
        <f>A24*10</f>
        <v>10</v>
      </c>
      <c r="C24" s="45" t="s">
        <v>26</v>
      </c>
      <c r="D24" s="47"/>
      <c r="E24" s="42">
        <v>0</v>
      </c>
      <c r="F24" s="42"/>
      <c r="G24" s="43"/>
      <c r="H24" s="43"/>
      <c r="I24" s="43"/>
      <c r="J24" s="43"/>
      <c r="K24" s="44"/>
      <c r="M24" s="41">
        <f t="shared" si="7"/>
        <v>5</v>
      </c>
      <c r="N24" s="76">
        <f t="shared" si="6"/>
        <v>50</v>
      </c>
      <c r="O24" s="46" t="s">
        <v>91</v>
      </c>
      <c r="P24" s="48"/>
      <c r="Q24" s="38">
        <v>0</v>
      </c>
      <c r="R24" s="38"/>
      <c r="S24" s="39"/>
      <c r="T24" s="39"/>
      <c r="U24" s="39"/>
      <c r="V24" s="39"/>
      <c r="W24" s="40"/>
    </row>
    <row r="25" spans="1:23" s="7" customFormat="1" ht="24.75" customHeight="1" x14ac:dyDescent="0.2">
      <c r="A25" s="41">
        <f>A24+1</f>
        <v>2</v>
      </c>
      <c r="B25" s="68">
        <f t="shared" ref="B25:B29" si="8">A25*10</f>
        <v>20</v>
      </c>
      <c r="C25" s="45" t="s">
        <v>27</v>
      </c>
      <c r="D25" s="47"/>
      <c r="E25" s="42">
        <v>0</v>
      </c>
      <c r="F25" s="42"/>
      <c r="G25" s="43"/>
      <c r="H25" s="43"/>
      <c r="I25" s="43"/>
      <c r="J25" s="43"/>
      <c r="K25" s="44"/>
      <c r="M25" s="36" t="s">
        <v>73</v>
      </c>
      <c r="N25" s="87" t="s">
        <v>64</v>
      </c>
      <c r="O25" s="85"/>
      <c r="P25" s="85"/>
      <c r="Q25" s="65">
        <v>0</v>
      </c>
      <c r="R25" s="85"/>
      <c r="S25" s="85"/>
      <c r="T25" s="85"/>
      <c r="U25" s="85"/>
      <c r="V25" s="85"/>
      <c r="W25" s="86"/>
    </row>
    <row r="26" spans="1:23" s="7" customFormat="1" ht="24.75" customHeight="1" x14ac:dyDescent="0.2">
      <c r="A26" s="41">
        <f t="shared" ref="A26:A28" si="9">A25+1</f>
        <v>3</v>
      </c>
      <c r="B26" s="68">
        <f t="shared" si="8"/>
        <v>30</v>
      </c>
      <c r="C26" s="45" t="s">
        <v>28</v>
      </c>
      <c r="D26" s="47"/>
      <c r="E26" s="42">
        <v>0</v>
      </c>
      <c r="F26" s="42"/>
      <c r="G26" s="43"/>
      <c r="H26" s="43"/>
      <c r="I26" s="43"/>
      <c r="J26" s="43"/>
      <c r="K26" s="44"/>
      <c r="M26" s="41">
        <v>1</v>
      </c>
      <c r="N26" s="77">
        <f>M26*10</f>
        <v>10</v>
      </c>
      <c r="O26" s="45" t="s">
        <v>66</v>
      </c>
      <c r="P26" s="47"/>
      <c r="Q26" s="60">
        <v>0</v>
      </c>
      <c r="R26" s="42"/>
      <c r="S26" s="43"/>
      <c r="T26" s="43"/>
      <c r="U26" s="43"/>
      <c r="V26" s="43"/>
      <c r="W26" s="44"/>
    </row>
    <row r="27" spans="1:23" s="7" customFormat="1" ht="24.75" customHeight="1" x14ac:dyDescent="0.2">
      <c r="A27" s="41">
        <f t="shared" si="9"/>
        <v>4</v>
      </c>
      <c r="B27" s="68">
        <f t="shared" si="8"/>
        <v>40</v>
      </c>
      <c r="C27" s="45" t="s">
        <v>58</v>
      </c>
      <c r="D27" s="47"/>
      <c r="E27" s="42">
        <v>0</v>
      </c>
      <c r="F27" s="42"/>
      <c r="G27" s="43"/>
      <c r="H27" s="43"/>
      <c r="I27" s="43"/>
      <c r="J27" s="43"/>
      <c r="K27" s="44"/>
      <c r="M27" s="41">
        <f>+M26+1</f>
        <v>2</v>
      </c>
      <c r="N27" s="77">
        <f t="shared" ref="N27:N28" si="10">M27*10</f>
        <v>20</v>
      </c>
      <c r="O27" s="45" t="s">
        <v>65</v>
      </c>
      <c r="P27" s="47"/>
      <c r="Q27" s="42">
        <v>0</v>
      </c>
      <c r="R27" s="42"/>
      <c r="S27" s="43"/>
      <c r="T27" s="43"/>
      <c r="U27" s="43"/>
      <c r="V27" s="43"/>
      <c r="W27" s="44"/>
    </row>
    <row r="28" spans="1:23" s="7" customFormat="1" ht="24.75" customHeight="1" x14ac:dyDescent="0.2">
      <c r="A28" s="41">
        <f t="shared" si="9"/>
        <v>5</v>
      </c>
      <c r="B28" s="68">
        <f t="shared" si="8"/>
        <v>50</v>
      </c>
      <c r="C28" s="45" t="s">
        <v>88</v>
      </c>
      <c r="D28" s="47"/>
      <c r="E28" s="42">
        <v>0</v>
      </c>
      <c r="F28" s="42"/>
      <c r="G28" s="43"/>
      <c r="H28" s="43"/>
      <c r="I28" s="43"/>
      <c r="J28" s="43"/>
      <c r="K28" s="44"/>
      <c r="M28" s="41">
        <f t="shared" ref="M28" si="11">+M27+1</f>
        <v>3</v>
      </c>
      <c r="N28" s="77">
        <f t="shared" si="10"/>
        <v>30</v>
      </c>
      <c r="O28" s="45" t="s">
        <v>67</v>
      </c>
      <c r="P28" s="102"/>
      <c r="Q28" s="49">
        <v>0</v>
      </c>
      <c r="R28" s="49"/>
      <c r="S28" s="62"/>
      <c r="T28" s="62"/>
      <c r="U28" s="62"/>
      <c r="V28" s="62"/>
      <c r="W28" s="63"/>
    </row>
    <row r="29" spans="1:23" s="7" customFormat="1" ht="24.75" customHeight="1" x14ac:dyDescent="0.2">
      <c r="A29" s="37">
        <f>A28+1</f>
        <v>6</v>
      </c>
      <c r="B29" s="69">
        <f t="shared" si="8"/>
        <v>60</v>
      </c>
      <c r="C29" s="46" t="s">
        <v>29</v>
      </c>
      <c r="D29" s="48"/>
      <c r="E29" s="38">
        <v>0</v>
      </c>
      <c r="F29" s="38"/>
      <c r="G29" s="39"/>
      <c r="H29" s="39"/>
      <c r="I29" s="39"/>
      <c r="J29" s="39"/>
      <c r="K29" s="40"/>
      <c r="M29" s="36" t="s">
        <v>4</v>
      </c>
      <c r="N29" s="87" t="s">
        <v>69</v>
      </c>
      <c r="O29" s="88"/>
      <c r="P29" s="88"/>
      <c r="Q29" s="66">
        <v>0</v>
      </c>
      <c r="R29" s="88"/>
      <c r="S29" s="88"/>
      <c r="T29" s="88"/>
      <c r="U29" s="88"/>
      <c r="V29" s="88"/>
      <c r="W29" s="89"/>
    </row>
    <row r="30" spans="1:23" s="7" customFormat="1" ht="24.75" customHeight="1" x14ac:dyDescent="0.2">
      <c r="A30" s="59" t="s">
        <v>5</v>
      </c>
      <c r="B30" s="107" t="s">
        <v>8</v>
      </c>
      <c r="C30" s="108"/>
      <c r="D30" s="108"/>
      <c r="E30" s="108"/>
      <c r="F30" s="108"/>
      <c r="G30" s="108"/>
      <c r="H30" s="108"/>
      <c r="I30" s="108"/>
      <c r="J30" s="108"/>
      <c r="K30" s="109"/>
      <c r="M30" s="41">
        <v>1</v>
      </c>
      <c r="N30" s="78">
        <f>M30*10</f>
        <v>10</v>
      </c>
      <c r="O30" s="45" t="s">
        <v>70</v>
      </c>
      <c r="P30" s="47"/>
      <c r="Q30" s="60">
        <v>0</v>
      </c>
      <c r="R30" s="42"/>
      <c r="S30" s="43"/>
      <c r="T30" s="43"/>
      <c r="U30" s="43"/>
      <c r="V30" s="43"/>
      <c r="W30" s="44"/>
    </row>
    <row r="31" spans="1:23" s="7" customFormat="1" ht="24.75" customHeight="1" x14ac:dyDescent="0.2">
      <c r="A31" s="41">
        <v>1</v>
      </c>
      <c r="B31" s="70">
        <f>A31*10</f>
        <v>10</v>
      </c>
      <c r="C31" s="45" t="s">
        <v>30</v>
      </c>
      <c r="D31" s="47"/>
      <c r="E31" s="42">
        <v>0</v>
      </c>
      <c r="F31" s="42"/>
      <c r="G31" s="43"/>
      <c r="H31" s="43"/>
      <c r="I31" s="43"/>
      <c r="J31" s="43"/>
      <c r="K31" s="44"/>
      <c r="M31" s="41">
        <f>+M30+1</f>
        <v>2</v>
      </c>
      <c r="N31" s="78">
        <f t="shared" ref="N31:N33" si="12">M31*10</f>
        <v>20</v>
      </c>
      <c r="O31" s="45" t="s">
        <v>71</v>
      </c>
      <c r="P31" s="47"/>
      <c r="Q31" s="42">
        <v>0</v>
      </c>
      <c r="R31" s="42"/>
      <c r="S31" s="43"/>
      <c r="T31" s="43"/>
      <c r="U31" s="43"/>
      <c r="V31" s="43"/>
      <c r="W31" s="44"/>
    </row>
    <row r="32" spans="1:23" s="7" customFormat="1" ht="24.75" customHeight="1" x14ac:dyDescent="0.2">
      <c r="A32" s="41">
        <f>A31+1</f>
        <v>2</v>
      </c>
      <c r="B32" s="70">
        <f t="shared" ref="B32" si="13">A32*10</f>
        <v>20</v>
      </c>
      <c r="C32" s="45" t="s">
        <v>74</v>
      </c>
      <c r="D32" s="47"/>
      <c r="E32" s="42">
        <v>0</v>
      </c>
      <c r="F32" s="42"/>
      <c r="G32" s="43"/>
      <c r="H32" s="43"/>
      <c r="I32" s="43"/>
      <c r="J32" s="43"/>
      <c r="K32" s="44"/>
      <c r="M32" s="41">
        <f>+M31+1</f>
        <v>3</v>
      </c>
      <c r="N32" s="78">
        <f t="shared" si="12"/>
        <v>30</v>
      </c>
      <c r="O32" s="45" t="s">
        <v>35</v>
      </c>
      <c r="P32" s="47"/>
      <c r="Q32" s="42">
        <v>0</v>
      </c>
      <c r="R32" s="42"/>
      <c r="S32" s="43"/>
      <c r="T32" s="43"/>
      <c r="U32" s="43"/>
      <c r="V32" s="43"/>
      <c r="W32" s="44"/>
    </row>
    <row r="33" spans="1:23" s="7" customFormat="1" ht="24.75" customHeight="1" x14ac:dyDescent="0.2">
      <c r="A33" s="41">
        <f t="shared" ref="A33:A38" si="14">A32+1</f>
        <v>3</v>
      </c>
      <c r="B33" s="70">
        <f t="shared" ref="B33" si="15">A33*10</f>
        <v>30</v>
      </c>
      <c r="C33" s="45" t="s">
        <v>75</v>
      </c>
      <c r="D33" s="47"/>
      <c r="E33" s="42">
        <v>0</v>
      </c>
      <c r="F33" s="42"/>
      <c r="G33" s="43"/>
      <c r="H33" s="43"/>
      <c r="I33" s="43"/>
      <c r="J33" s="43"/>
      <c r="K33" s="44"/>
      <c r="M33" s="41">
        <f>+M32+1</f>
        <v>4</v>
      </c>
      <c r="N33" s="78">
        <f t="shared" si="12"/>
        <v>40</v>
      </c>
      <c r="O33" s="45" t="s">
        <v>72</v>
      </c>
      <c r="P33" s="47"/>
      <c r="Q33" s="42">
        <v>0</v>
      </c>
      <c r="R33" s="42"/>
      <c r="S33" s="43"/>
      <c r="T33" s="43"/>
      <c r="U33" s="43"/>
      <c r="V33" s="43"/>
      <c r="W33" s="44"/>
    </row>
    <row r="34" spans="1:23" s="7" customFormat="1" ht="24.75" customHeight="1" x14ac:dyDescent="0.2">
      <c r="A34" s="41">
        <f t="shared" si="14"/>
        <v>4</v>
      </c>
      <c r="B34" s="70">
        <f t="shared" ref="B34:B38" si="16">A34*10</f>
        <v>40</v>
      </c>
      <c r="C34" s="45" t="s">
        <v>76</v>
      </c>
      <c r="D34" s="47"/>
      <c r="E34" s="42">
        <v>0</v>
      </c>
      <c r="F34" s="42"/>
      <c r="G34" s="43"/>
      <c r="H34" s="43"/>
      <c r="I34" s="43"/>
      <c r="J34" s="43"/>
      <c r="K34" s="44"/>
      <c r="M34" s="36" t="s">
        <v>79</v>
      </c>
      <c r="N34" s="126" t="s">
        <v>80</v>
      </c>
      <c r="O34" s="127"/>
      <c r="P34" s="127"/>
      <c r="Q34" s="127"/>
      <c r="R34" s="127"/>
      <c r="S34" s="127"/>
      <c r="T34" s="127"/>
      <c r="U34" s="127"/>
      <c r="V34" s="127"/>
      <c r="W34" s="128"/>
    </row>
    <row r="35" spans="1:23" s="7" customFormat="1" ht="24.75" customHeight="1" x14ac:dyDescent="0.2">
      <c r="A35" s="41">
        <f t="shared" si="14"/>
        <v>5</v>
      </c>
      <c r="B35" s="70">
        <f t="shared" si="16"/>
        <v>50</v>
      </c>
      <c r="C35" s="45" t="s">
        <v>31</v>
      </c>
      <c r="D35" s="47"/>
      <c r="E35" s="42">
        <v>0</v>
      </c>
      <c r="F35" s="42"/>
      <c r="G35" s="43"/>
      <c r="H35" s="43"/>
      <c r="I35" s="43"/>
      <c r="J35" s="43"/>
      <c r="K35" s="44"/>
      <c r="M35" s="41">
        <v>1</v>
      </c>
      <c r="N35" s="82">
        <f>M35*10</f>
        <v>10</v>
      </c>
      <c r="O35" s="45" t="s">
        <v>81</v>
      </c>
      <c r="P35" s="45"/>
      <c r="Q35" s="42">
        <v>0</v>
      </c>
      <c r="R35" s="42"/>
      <c r="S35" s="43"/>
      <c r="T35" s="43"/>
      <c r="U35" s="43"/>
      <c r="V35" s="43"/>
      <c r="W35" s="44"/>
    </row>
    <row r="36" spans="1:23" s="7" customFormat="1" ht="24.75" customHeight="1" x14ac:dyDescent="0.2">
      <c r="A36" s="41">
        <f t="shared" si="14"/>
        <v>6</v>
      </c>
      <c r="B36" s="70">
        <f t="shared" si="16"/>
        <v>60</v>
      </c>
      <c r="C36" s="45" t="s">
        <v>20</v>
      </c>
      <c r="D36" s="47"/>
      <c r="E36" s="42">
        <v>0</v>
      </c>
      <c r="F36" s="42"/>
      <c r="G36" s="43"/>
      <c r="H36" s="43"/>
      <c r="I36" s="43"/>
      <c r="J36" s="43"/>
      <c r="K36" s="44"/>
      <c r="M36" s="41">
        <f>M35+1</f>
        <v>2</v>
      </c>
      <c r="N36" s="82">
        <f t="shared" ref="N36:N37" si="17">M36*10</f>
        <v>20</v>
      </c>
      <c r="O36" s="45" t="s">
        <v>82</v>
      </c>
      <c r="P36" s="45"/>
      <c r="Q36" s="42">
        <v>0</v>
      </c>
      <c r="R36" s="42"/>
      <c r="S36" s="43"/>
      <c r="T36" s="43"/>
      <c r="U36" s="43"/>
      <c r="V36" s="43"/>
      <c r="W36" s="44"/>
    </row>
    <row r="37" spans="1:23" s="7" customFormat="1" ht="24.75" customHeight="1" x14ac:dyDescent="0.2">
      <c r="A37" s="41">
        <f t="shared" si="14"/>
        <v>7</v>
      </c>
      <c r="B37" s="70">
        <f t="shared" si="16"/>
        <v>70</v>
      </c>
      <c r="C37" s="45" t="s">
        <v>13</v>
      </c>
      <c r="D37" s="47"/>
      <c r="E37" s="42">
        <v>0</v>
      </c>
      <c r="F37" s="42"/>
      <c r="G37" s="43"/>
      <c r="H37" s="43"/>
      <c r="I37" s="43"/>
      <c r="J37" s="43"/>
      <c r="K37" s="44"/>
      <c r="M37" s="41">
        <f>M36+1</f>
        <v>3</v>
      </c>
      <c r="N37" s="82">
        <f t="shared" si="17"/>
        <v>30</v>
      </c>
      <c r="O37" s="45" t="s">
        <v>92</v>
      </c>
      <c r="P37" s="45"/>
      <c r="Q37" s="42">
        <v>0</v>
      </c>
      <c r="R37" s="42"/>
      <c r="S37" s="43"/>
      <c r="T37" s="43"/>
      <c r="U37" s="43"/>
      <c r="V37" s="43"/>
      <c r="W37" s="44"/>
    </row>
    <row r="38" spans="1:23" s="7" customFormat="1" ht="24.75" customHeight="1" x14ac:dyDescent="0.2">
      <c r="A38" s="37">
        <f t="shared" si="14"/>
        <v>8</v>
      </c>
      <c r="B38" s="69">
        <f t="shared" si="16"/>
        <v>80</v>
      </c>
      <c r="C38" s="46" t="s">
        <v>36</v>
      </c>
      <c r="D38" s="48"/>
      <c r="E38" s="38">
        <v>0</v>
      </c>
      <c r="F38" s="38"/>
      <c r="G38" s="39"/>
      <c r="H38" s="39"/>
      <c r="I38" s="39"/>
      <c r="J38" s="39"/>
      <c r="K38" s="40"/>
      <c r="M38" s="81" t="s">
        <v>83</v>
      </c>
      <c r="N38" s="126" t="s">
        <v>19</v>
      </c>
      <c r="O38" s="127"/>
      <c r="P38" s="127"/>
      <c r="Q38" s="127"/>
      <c r="R38" s="127"/>
      <c r="S38" s="127"/>
      <c r="T38" s="127"/>
      <c r="U38" s="127"/>
      <c r="V38" s="127"/>
      <c r="W38" s="128"/>
    </row>
    <row r="39" spans="1:23" s="7" customFormat="1" ht="24.75" customHeight="1" x14ac:dyDescent="0.2">
      <c r="A39" s="59" t="s">
        <v>32</v>
      </c>
      <c r="B39" s="107" t="s">
        <v>33</v>
      </c>
      <c r="C39" s="108"/>
      <c r="D39" s="108"/>
      <c r="E39" s="108"/>
      <c r="F39" s="108"/>
      <c r="G39" s="108"/>
      <c r="H39" s="108"/>
      <c r="I39" s="108"/>
      <c r="J39" s="108"/>
      <c r="K39" s="109"/>
      <c r="M39" s="41">
        <v>1</v>
      </c>
      <c r="N39" s="79">
        <f>M39*10</f>
        <v>10</v>
      </c>
      <c r="O39" s="45" t="s">
        <v>9</v>
      </c>
      <c r="P39" s="47"/>
      <c r="Q39" s="42">
        <v>0</v>
      </c>
      <c r="R39" s="42"/>
      <c r="S39" s="43"/>
      <c r="T39" s="43"/>
      <c r="U39" s="43"/>
      <c r="V39" s="43"/>
      <c r="W39" s="44"/>
    </row>
    <row r="40" spans="1:23" s="7" customFormat="1" ht="24.75" customHeight="1" x14ac:dyDescent="0.2">
      <c r="A40" s="41">
        <v>1</v>
      </c>
      <c r="B40" s="72">
        <f>A40*10</f>
        <v>10</v>
      </c>
      <c r="C40" s="45" t="s">
        <v>21</v>
      </c>
      <c r="D40" s="47"/>
      <c r="E40" s="42">
        <v>0</v>
      </c>
      <c r="F40" s="42"/>
      <c r="G40" s="43"/>
      <c r="H40" s="43"/>
      <c r="I40" s="43"/>
      <c r="J40" s="43"/>
      <c r="K40" s="44"/>
      <c r="M40" s="41">
        <f>M39+1</f>
        <v>2</v>
      </c>
      <c r="N40" s="79">
        <f>(M40)*10-9</f>
        <v>11</v>
      </c>
      <c r="O40" s="45" t="s">
        <v>50</v>
      </c>
      <c r="P40" s="47"/>
      <c r="Q40" s="42">
        <v>0</v>
      </c>
      <c r="R40" s="42"/>
      <c r="S40" s="43"/>
      <c r="T40" s="43"/>
      <c r="U40" s="43"/>
      <c r="V40" s="43"/>
      <c r="W40" s="44"/>
    </row>
    <row r="41" spans="1:23" s="7" customFormat="1" ht="24.75" customHeight="1" x14ac:dyDescent="0.2">
      <c r="A41" s="41">
        <f>A40+1</f>
        <v>2</v>
      </c>
      <c r="B41" s="72">
        <f t="shared" ref="B41:B43" si="18">A41*10</f>
        <v>20</v>
      </c>
      <c r="C41" s="45" t="s">
        <v>34</v>
      </c>
      <c r="D41" s="47"/>
      <c r="E41" s="42">
        <v>0</v>
      </c>
      <c r="F41" s="42"/>
      <c r="G41" s="43"/>
      <c r="H41" s="43"/>
      <c r="I41" s="43"/>
      <c r="J41" s="43"/>
      <c r="K41" s="44"/>
      <c r="M41" s="41">
        <v>3</v>
      </c>
      <c r="N41" s="79">
        <f>(M41)*10-10-10+2</f>
        <v>12</v>
      </c>
      <c r="O41" s="45" t="s">
        <v>95</v>
      </c>
      <c r="P41" s="47"/>
      <c r="Q41" s="42">
        <v>0</v>
      </c>
      <c r="R41" s="42"/>
      <c r="S41" s="43"/>
      <c r="T41" s="43"/>
      <c r="U41" s="43"/>
      <c r="V41" s="43"/>
      <c r="W41" s="44"/>
    </row>
    <row r="42" spans="1:23" s="7" customFormat="1" ht="24.75" customHeight="1" x14ac:dyDescent="0.2">
      <c r="A42" s="41">
        <f t="shared" ref="A42:A43" si="19">A41+1</f>
        <v>3</v>
      </c>
      <c r="B42" s="72">
        <f t="shared" si="18"/>
        <v>30</v>
      </c>
      <c r="C42" s="45" t="s">
        <v>59</v>
      </c>
      <c r="D42" s="47"/>
      <c r="E42" s="42">
        <v>0</v>
      </c>
      <c r="F42" s="42"/>
      <c r="G42" s="43"/>
      <c r="H42" s="43"/>
      <c r="I42" s="43"/>
      <c r="J42" s="43"/>
      <c r="K42" s="44"/>
      <c r="M42" s="41">
        <f t="shared" ref="M42:M46" si="20">M41+1</f>
        <v>4</v>
      </c>
      <c r="N42" s="79">
        <f>(M42)*10-10-10</f>
        <v>20</v>
      </c>
      <c r="O42" s="45" t="s">
        <v>47</v>
      </c>
      <c r="P42" s="47"/>
      <c r="Q42" s="42">
        <v>0</v>
      </c>
      <c r="R42" s="42"/>
      <c r="S42" s="43"/>
      <c r="T42" s="43"/>
      <c r="U42" s="43"/>
      <c r="V42" s="43"/>
      <c r="W42" s="44"/>
    </row>
    <row r="43" spans="1:23" s="7" customFormat="1" ht="24.75" customHeight="1" x14ac:dyDescent="0.2">
      <c r="A43" s="37">
        <f t="shared" si="19"/>
        <v>4</v>
      </c>
      <c r="B43" s="73">
        <f t="shared" si="18"/>
        <v>40</v>
      </c>
      <c r="C43" s="46" t="s">
        <v>22</v>
      </c>
      <c r="D43" s="48"/>
      <c r="E43" s="38">
        <v>0</v>
      </c>
      <c r="F43" s="38"/>
      <c r="G43" s="39"/>
      <c r="H43" s="39"/>
      <c r="I43" s="39"/>
      <c r="J43" s="39"/>
      <c r="K43" s="40"/>
      <c r="M43" s="41">
        <f t="shared" si="20"/>
        <v>5</v>
      </c>
      <c r="N43" s="79">
        <f>(M43)*10-10-10</f>
        <v>30</v>
      </c>
      <c r="O43" s="45" t="s">
        <v>48</v>
      </c>
      <c r="P43" s="47"/>
      <c r="Q43" s="42">
        <v>0</v>
      </c>
      <c r="R43" s="42"/>
      <c r="S43" s="43"/>
      <c r="T43" s="43"/>
      <c r="U43" s="43"/>
      <c r="V43" s="43"/>
      <c r="W43" s="44"/>
    </row>
    <row r="44" spans="1:23" s="7" customFormat="1" ht="24.75" customHeight="1" x14ac:dyDescent="0.2">
      <c r="A44" s="59" t="s">
        <v>37</v>
      </c>
      <c r="B44" s="126" t="s">
        <v>77</v>
      </c>
      <c r="C44" s="127"/>
      <c r="D44" s="127"/>
      <c r="E44" s="127"/>
      <c r="F44" s="127"/>
      <c r="G44" s="127"/>
      <c r="H44" s="127"/>
      <c r="I44" s="127"/>
      <c r="J44" s="127"/>
      <c r="K44" s="128"/>
      <c r="M44" s="41">
        <f t="shared" si="20"/>
        <v>6</v>
      </c>
      <c r="N44" s="79">
        <f>(M44)*10-10-10</f>
        <v>40</v>
      </c>
      <c r="O44" s="45" t="s">
        <v>49</v>
      </c>
      <c r="P44" s="47"/>
      <c r="Q44" s="42">
        <v>0</v>
      </c>
      <c r="R44" s="42"/>
      <c r="S44" s="43"/>
      <c r="T44" s="43"/>
      <c r="U44" s="43"/>
      <c r="V44" s="43"/>
      <c r="W44" s="44"/>
    </row>
    <row r="45" spans="1:23" s="7" customFormat="1" ht="24.75" customHeight="1" x14ac:dyDescent="0.2">
      <c r="A45" s="41">
        <v>1</v>
      </c>
      <c r="B45" s="80">
        <f>A45*10</f>
        <v>10</v>
      </c>
      <c r="C45" s="45" t="s">
        <v>78</v>
      </c>
      <c r="D45" s="47"/>
      <c r="E45" s="42">
        <v>0</v>
      </c>
      <c r="F45" s="42"/>
      <c r="G45" s="43"/>
      <c r="H45" s="43"/>
      <c r="I45" s="43"/>
      <c r="J45" s="43"/>
      <c r="K45" s="44"/>
      <c r="M45" s="41">
        <f t="shared" si="20"/>
        <v>7</v>
      </c>
      <c r="N45" s="79">
        <f>(M45)*10-10-10</f>
        <v>50</v>
      </c>
      <c r="O45" s="45" t="s">
        <v>23</v>
      </c>
      <c r="P45" s="47"/>
      <c r="Q45" s="42">
        <v>0</v>
      </c>
      <c r="R45" s="42"/>
      <c r="S45" s="43"/>
      <c r="T45" s="43"/>
      <c r="U45" s="43"/>
      <c r="V45" s="43"/>
      <c r="W45" s="44"/>
    </row>
    <row r="46" spans="1:23" s="7" customFormat="1" ht="24.75" customHeight="1" thickBot="1" x14ac:dyDescent="0.25">
      <c r="A46" s="41">
        <f>A45+1</f>
        <v>2</v>
      </c>
      <c r="B46" s="80">
        <f t="shared" ref="B46:B47" si="21">A46*10</f>
        <v>20</v>
      </c>
      <c r="C46" s="45" t="s">
        <v>13</v>
      </c>
      <c r="D46" s="47"/>
      <c r="E46" s="42">
        <v>0</v>
      </c>
      <c r="F46" s="42"/>
      <c r="G46" s="43"/>
      <c r="H46" s="43"/>
      <c r="I46" s="43"/>
      <c r="J46" s="43"/>
      <c r="K46" s="44"/>
      <c r="M46" s="41">
        <f t="shared" si="20"/>
        <v>8</v>
      </c>
      <c r="N46" s="98">
        <f>(M46)*10-10-10</f>
        <v>60</v>
      </c>
      <c r="O46" s="54" t="s">
        <v>93</v>
      </c>
      <c r="P46" s="55"/>
      <c r="Q46" s="56">
        <v>0</v>
      </c>
      <c r="R46" s="56"/>
      <c r="S46" s="57"/>
      <c r="T46" s="57"/>
      <c r="U46" s="57"/>
      <c r="V46" s="57"/>
      <c r="W46" s="58"/>
    </row>
    <row r="47" spans="1:23" s="7" customFormat="1" ht="24.75" customHeight="1" thickTop="1" x14ac:dyDescent="0.2">
      <c r="A47" s="41">
        <f t="shared" ref="A47" si="22">A46+1</f>
        <v>3</v>
      </c>
      <c r="B47" s="71">
        <f t="shared" si="21"/>
        <v>30</v>
      </c>
      <c r="C47" s="46" t="s">
        <v>59</v>
      </c>
      <c r="D47" s="48"/>
      <c r="E47" s="48">
        <v>0</v>
      </c>
      <c r="F47" s="38"/>
      <c r="G47" s="39"/>
      <c r="H47" s="39"/>
      <c r="I47" s="39"/>
      <c r="J47" s="39"/>
      <c r="K47" s="40"/>
      <c r="M47" s="91"/>
      <c r="N47" s="91"/>
      <c r="O47" s="93"/>
      <c r="P47" s="93"/>
      <c r="Q47" s="93"/>
      <c r="R47" s="93"/>
      <c r="S47" s="93"/>
      <c r="T47" s="93"/>
      <c r="U47" s="93"/>
      <c r="V47" s="93"/>
      <c r="W47" s="93"/>
    </row>
    <row r="48" spans="1:23" s="7" customFormat="1" ht="24.75" customHeight="1" x14ac:dyDescent="0.2">
      <c r="A48" s="59" t="s">
        <v>46</v>
      </c>
      <c r="B48" s="123" t="s">
        <v>84</v>
      </c>
      <c r="C48" s="124"/>
      <c r="D48" s="124"/>
      <c r="E48" s="124"/>
      <c r="F48" s="124"/>
      <c r="G48" s="124"/>
      <c r="H48" s="124"/>
      <c r="I48" s="124"/>
      <c r="J48" s="124"/>
      <c r="K48" s="125"/>
      <c r="M48" s="94"/>
      <c r="N48" s="93"/>
      <c r="O48" s="93"/>
      <c r="P48" s="93"/>
      <c r="Q48" s="93"/>
      <c r="R48" s="93"/>
      <c r="S48" s="93"/>
      <c r="T48" s="93"/>
      <c r="U48" s="93"/>
      <c r="V48" s="93"/>
      <c r="W48" s="93"/>
    </row>
    <row r="49" spans="1:23" s="7" customFormat="1" ht="24.75" customHeight="1" x14ac:dyDescent="0.2">
      <c r="A49" s="41">
        <v>1</v>
      </c>
      <c r="B49" s="83">
        <f>A49*10</f>
        <v>10</v>
      </c>
      <c r="C49" s="45" t="s">
        <v>85</v>
      </c>
      <c r="D49" s="47"/>
      <c r="E49" s="42">
        <v>0</v>
      </c>
      <c r="F49" s="42"/>
      <c r="G49" s="43"/>
      <c r="H49" s="43"/>
      <c r="I49" s="43"/>
      <c r="J49" s="43"/>
      <c r="K49" s="44"/>
      <c r="M49" s="90"/>
      <c r="N49" s="93"/>
      <c r="O49" s="91"/>
      <c r="P49" s="93"/>
      <c r="Q49" s="92"/>
      <c r="R49" s="92"/>
      <c r="S49" s="93"/>
      <c r="T49" s="93"/>
      <c r="U49" s="93"/>
      <c r="V49" s="93"/>
      <c r="W49" s="93"/>
    </row>
    <row r="50" spans="1:23" s="7" customFormat="1" ht="24.75" customHeight="1" x14ac:dyDescent="0.2">
      <c r="A50" s="41">
        <f>A49+1</f>
        <v>2</v>
      </c>
      <c r="B50" s="83">
        <f t="shared" ref="B50:B52" si="23">A50*10</f>
        <v>20</v>
      </c>
      <c r="C50" s="45" t="s">
        <v>86</v>
      </c>
      <c r="D50" s="47"/>
      <c r="E50" s="42">
        <v>0</v>
      </c>
      <c r="F50" s="42"/>
      <c r="G50" s="43"/>
      <c r="H50" s="43"/>
      <c r="I50" s="43"/>
      <c r="J50" s="43"/>
      <c r="K50" s="44"/>
      <c r="M50" s="90"/>
      <c r="N50" s="93"/>
      <c r="O50" s="91"/>
      <c r="P50" s="93"/>
      <c r="Q50" s="92"/>
      <c r="R50" s="92"/>
      <c r="S50" s="93"/>
      <c r="T50" s="93"/>
      <c r="U50" s="93"/>
      <c r="V50" s="93"/>
      <c r="W50" s="93"/>
    </row>
    <row r="51" spans="1:23" s="7" customFormat="1" ht="24.75" customHeight="1" x14ac:dyDescent="0.2">
      <c r="A51" s="41">
        <f t="shared" ref="A51:A52" si="24">A50+1</f>
        <v>3</v>
      </c>
      <c r="B51" s="83">
        <f t="shared" si="23"/>
        <v>30</v>
      </c>
      <c r="C51" s="45" t="s">
        <v>87</v>
      </c>
      <c r="D51" s="47"/>
      <c r="E51" s="42">
        <v>0</v>
      </c>
      <c r="F51" s="42"/>
      <c r="G51" s="43"/>
      <c r="H51" s="43"/>
      <c r="I51" s="43"/>
      <c r="J51" s="43"/>
      <c r="K51" s="44"/>
      <c r="M51" s="90"/>
      <c r="N51" s="93"/>
      <c r="O51" s="91"/>
      <c r="P51" s="93"/>
      <c r="Q51" s="92"/>
      <c r="R51" s="92"/>
      <c r="S51" s="93"/>
      <c r="T51" s="93"/>
      <c r="U51" s="93"/>
      <c r="V51" s="93"/>
      <c r="W51" s="93"/>
    </row>
    <row r="52" spans="1:23" s="7" customFormat="1" ht="24.75" customHeight="1" thickBot="1" x14ac:dyDescent="0.25">
      <c r="A52" s="97">
        <f t="shared" si="24"/>
        <v>4</v>
      </c>
      <c r="B52" s="100">
        <f t="shared" si="23"/>
        <v>40</v>
      </c>
      <c r="C52" s="54" t="s">
        <v>59</v>
      </c>
      <c r="D52" s="55"/>
      <c r="E52" s="56">
        <v>0</v>
      </c>
      <c r="F52" s="56"/>
      <c r="G52" s="57"/>
      <c r="H52" s="57"/>
      <c r="I52" s="57"/>
      <c r="J52" s="57"/>
      <c r="K52" s="58"/>
      <c r="M52" s="90"/>
      <c r="N52" s="93"/>
      <c r="O52" s="91"/>
      <c r="P52" s="93"/>
      <c r="Q52" s="92"/>
      <c r="R52" s="92"/>
      <c r="S52" s="93"/>
      <c r="T52" s="93"/>
      <c r="U52" s="93"/>
      <c r="V52" s="93"/>
      <c r="W52" s="93"/>
    </row>
    <row r="53" spans="1:23" s="7" customFormat="1" ht="24.75" customHeight="1" thickTop="1" x14ac:dyDescent="0.2">
      <c r="A53" s="110" t="s">
        <v>1</v>
      </c>
      <c r="B53" s="111"/>
      <c r="C53" s="112"/>
      <c r="D53" s="50" t="s">
        <v>2</v>
      </c>
      <c r="E53" s="51" t="s">
        <v>4</v>
      </c>
      <c r="F53" s="51"/>
      <c r="G53" s="52"/>
      <c r="H53" s="52"/>
      <c r="I53" s="52"/>
      <c r="J53" s="52"/>
      <c r="K53" s="52"/>
      <c r="L53" s="95"/>
      <c r="M53" s="93"/>
      <c r="N53" s="93"/>
      <c r="O53" s="93"/>
      <c r="P53" s="93"/>
      <c r="Q53" s="93"/>
      <c r="R53" s="92"/>
      <c r="S53" s="93"/>
      <c r="T53" s="93"/>
      <c r="U53" s="93"/>
      <c r="V53" s="93"/>
      <c r="W53" s="93"/>
    </row>
    <row r="54" spans="1:23" s="7" customFormat="1" ht="24.75" customHeight="1" x14ac:dyDescent="0.2">
      <c r="A54" s="8"/>
      <c r="B54" s="8"/>
      <c r="C54" s="10"/>
      <c r="D54" s="31"/>
      <c r="E54" s="8"/>
      <c r="F54" s="8"/>
      <c r="G54" s="4"/>
      <c r="H54" s="5"/>
      <c r="I54" s="4"/>
      <c r="J54" s="5"/>
      <c r="K54" s="5"/>
      <c r="L54" s="95"/>
      <c r="M54" s="93"/>
      <c r="N54" s="93"/>
      <c r="O54" s="91"/>
      <c r="P54" s="93"/>
      <c r="Q54" s="92"/>
      <c r="R54" s="92"/>
      <c r="S54" s="93"/>
      <c r="T54" s="93"/>
      <c r="U54" s="93"/>
      <c r="V54" s="93"/>
      <c r="W54" s="93"/>
    </row>
    <row r="55" spans="1:23" s="7" customFormat="1" ht="24.75" customHeight="1" x14ac:dyDescent="0.2">
      <c r="A55" s="8"/>
      <c r="B55" s="8"/>
      <c r="C55" s="10"/>
      <c r="D55" s="31"/>
      <c r="E55" s="8"/>
      <c r="F55" s="8"/>
      <c r="G55" s="4"/>
      <c r="H55" s="5"/>
      <c r="I55" s="4"/>
      <c r="J55" s="5"/>
      <c r="K55" s="5"/>
      <c r="L55" s="95"/>
    </row>
    <row r="56" spans="1:23" s="7" customFormat="1" ht="24.75" customHeight="1" x14ac:dyDescent="0.2">
      <c r="A56" s="8"/>
      <c r="B56" s="8"/>
      <c r="C56" s="10"/>
      <c r="D56" s="31"/>
      <c r="E56" s="8"/>
      <c r="F56" s="8"/>
      <c r="G56" s="4"/>
      <c r="H56" s="5"/>
      <c r="I56" s="4"/>
      <c r="J56" s="5"/>
      <c r="K56" s="5"/>
      <c r="L56" s="95"/>
    </row>
    <row r="57" spans="1:23" s="7" customFormat="1" ht="24.75" customHeight="1" x14ac:dyDescent="0.2">
      <c r="A57" s="8"/>
      <c r="B57" s="8"/>
      <c r="C57" s="10"/>
      <c r="D57" s="31"/>
      <c r="E57" s="8"/>
      <c r="F57" s="8"/>
      <c r="G57" s="4"/>
      <c r="H57" s="5"/>
      <c r="I57" s="4"/>
      <c r="J57" s="5"/>
      <c r="K57" s="5"/>
      <c r="L57" s="95"/>
    </row>
    <row r="58" spans="1:23" s="7" customFormat="1" ht="24.75" customHeight="1" x14ac:dyDescent="0.2">
      <c r="A58" s="8"/>
      <c r="B58" s="8"/>
      <c r="C58" s="10"/>
      <c r="D58" s="31"/>
      <c r="E58" s="8"/>
      <c r="F58" s="8"/>
      <c r="G58" s="4"/>
      <c r="H58" s="5"/>
      <c r="I58" s="4"/>
      <c r="J58" s="5"/>
      <c r="K58" s="5"/>
      <c r="L58" s="95"/>
    </row>
    <row r="59" spans="1:23" s="7" customFormat="1" ht="24.75" customHeight="1" x14ac:dyDescent="0.2">
      <c r="A59" s="8"/>
      <c r="B59" s="8"/>
      <c r="C59" s="10"/>
      <c r="D59" s="31"/>
      <c r="E59" s="8"/>
      <c r="F59" s="8"/>
      <c r="G59" s="4"/>
      <c r="H59" s="5"/>
      <c r="I59" s="4"/>
      <c r="J59" s="5"/>
      <c r="K59" s="5"/>
      <c r="L59" s="95"/>
    </row>
    <row r="60" spans="1:23" s="7" customFormat="1" ht="24.75" customHeight="1" x14ac:dyDescent="0.2">
      <c r="A60" s="8"/>
      <c r="B60" s="8"/>
      <c r="C60" s="10"/>
      <c r="D60" s="31"/>
      <c r="E60" s="8"/>
      <c r="F60" s="8"/>
      <c r="G60" s="4"/>
      <c r="H60" s="5"/>
      <c r="I60" s="4"/>
      <c r="J60" s="5"/>
      <c r="K60" s="5"/>
      <c r="L60" s="95"/>
    </row>
    <row r="61" spans="1:23" s="7" customFormat="1" ht="24.75" customHeight="1" x14ac:dyDescent="0.2">
      <c r="A61" s="8"/>
      <c r="B61" s="8"/>
      <c r="C61" s="10"/>
      <c r="D61" s="31"/>
      <c r="E61" s="8"/>
      <c r="F61" s="8"/>
      <c r="G61" s="4"/>
      <c r="H61" s="5"/>
      <c r="I61" s="4"/>
      <c r="J61" s="5"/>
      <c r="K61" s="5"/>
      <c r="L61" s="95"/>
    </row>
    <row r="62" spans="1:23" s="7" customFormat="1" ht="24.75" customHeight="1" x14ac:dyDescent="0.2">
      <c r="A62" s="2"/>
      <c r="B62" s="8"/>
      <c r="C62" s="10"/>
      <c r="D62" s="31"/>
      <c r="E62" s="8"/>
      <c r="F62" s="8"/>
      <c r="G62" s="4"/>
      <c r="H62" s="5"/>
      <c r="I62" s="4"/>
      <c r="J62" s="5"/>
      <c r="K62" s="5"/>
      <c r="L62" s="95"/>
    </row>
    <row r="63" spans="1:23" s="7" customFormat="1" ht="24.75" customHeight="1" x14ac:dyDescent="0.2">
      <c r="A63" s="2"/>
      <c r="B63" s="8"/>
      <c r="C63" s="10"/>
      <c r="D63" s="31"/>
      <c r="E63" s="8"/>
      <c r="F63" s="8"/>
      <c r="G63" s="4"/>
      <c r="H63" s="5"/>
      <c r="I63" s="4"/>
      <c r="J63" s="5"/>
      <c r="K63" s="5"/>
      <c r="L63" s="95"/>
    </row>
    <row r="64" spans="1:23" s="7" customFormat="1" ht="24.75" customHeight="1" x14ac:dyDescent="0.2">
      <c r="A64" s="2"/>
      <c r="B64" s="8"/>
      <c r="C64" s="10"/>
      <c r="D64" s="31"/>
      <c r="E64" s="8"/>
      <c r="F64" s="8"/>
      <c r="G64" s="4"/>
      <c r="H64" s="5"/>
      <c r="I64" s="4"/>
      <c r="J64" s="5"/>
      <c r="K64" s="5"/>
      <c r="L64" s="95"/>
    </row>
    <row r="65" spans="1:12" s="7" customFormat="1" ht="24.75" customHeight="1" x14ac:dyDescent="0.2">
      <c r="A65" s="2"/>
      <c r="B65" s="8"/>
      <c r="C65" s="10"/>
      <c r="D65" s="31"/>
      <c r="E65" s="8"/>
      <c r="F65" s="8"/>
      <c r="G65" s="4"/>
      <c r="H65" s="5"/>
      <c r="I65" s="4"/>
      <c r="J65" s="5"/>
      <c r="K65" s="5"/>
      <c r="L65" s="95"/>
    </row>
    <row r="66" spans="1:12" s="7" customFormat="1" ht="24.75" customHeight="1" x14ac:dyDescent="0.2">
      <c r="A66" s="2"/>
      <c r="B66" s="8"/>
      <c r="C66" s="10"/>
      <c r="D66" s="31"/>
      <c r="E66" s="8"/>
      <c r="F66" s="8"/>
      <c r="G66" s="4"/>
      <c r="H66" s="5"/>
      <c r="I66" s="4"/>
      <c r="J66" s="5"/>
      <c r="K66" s="5"/>
      <c r="L66" s="95"/>
    </row>
    <row r="67" spans="1:12" s="7" customFormat="1" ht="24.75" customHeight="1" x14ac:dyDescent="0.2">
      <c r="A67" s="2"/>
      <c r="B67" s="8"/>
      <c r="C67" s="10"/>
      <c r="D67" s="31"/>
      <c r="E67" s="8"/>
      <c r="F67" s="8"/>
      <c r="G67" s="4"/>
      <c r="H67" s="5"/>
      <c r="I67" s="4"/>
      <c r="J67" s="5"/>
      <c r="K67" s="5"/>
      <c r="L67" s="95"/>
    </row>
    <row r="68" spans="1:12" s="7" customFormat="1" ht="24.75" customHeight="1" x14ac:dyDescent="0.2">
      <c r="A68" s="2"/>
      <c r="B68" s="8"/>
      <c r="C68" s="11"/>
      <c r="D68" s="31"/>
      <c r="E68" s="4"/>
      <c r="F68" s="4"/>
      <c r="G68" s="4"/>
      <c r="H68" s="5"/>
      <c r="I68" s="4"/>
      <c r="J68" s="5"/>
      <c r="K68" s="5"/>
      <c r="L68" s="95"/>
    </row>
    <row r="69" spans="1:12" s="7" customFormat="1" ht="24.75" customHeight="1" x14ac:dyDescent="0.2">
      <c r="A69" s="2"/>
      <c r="B69" s="8"/>
      <c r="C69" s="11"/>
      <c r="D69" s="31"/>
      <c r="E69" s="4"/>
      <c r="F69" s="4"/>
      <c r="G69" s="4"/>
      <c r="H69" s="5"/>
      <c r="I69" s="4"/>
      <c r="J69" s="5"/>
      <c r="K69" s="5"/>
      <c r="L69" s="95"/>
    </row>
    <row r="70" spans="1:12" s="7" customFormat="1" ht="24.75" customHeight="1" x14ac:dyDescent="0.2">
      <c r="A70" s="2"/>
      <c r="B70" s="8"/>
      <c r="C70" s="11"/>
      <c r="D70" s="31"/>
      <c r="E70" s="4"/>
      <c r="F70" s="4"/>
      <c r="G70" s="4"/>
      <c r="H70" s="5"/>
      <c r="I70" s="4"/>
      <c r="J70" s="5"/>
      <c r="K70" s="5"/>
      <c r="L70" s="95"/>
    </row>
    <row r="71" spans="1:12" s="7" customFormat="1" ht="24.75" customHeight="1" x14ac:dyDescent="0.2">
      <c r="A71" s="2"/>
      <c r="B71" s="8"/>
      <c r="C71" s="11"/>
      <c r="D71" s="31"/>
      <c r="E71" s="4"/>
      <c r="F71" s="4"/>
      <c r="G71" s="4"/>
      <c r="H71" s="5"/>
      <c r="I71" s="4"/>
      <c r="J71" s="5"/>
      <c r="K71" s="5"/>
      <c r="L71" s="95"/>
    </row>
    <row r="72" spans="1:12" s="7" customFormat="1" ht="24.75" customHeight="1" x14ac:dyDescent="0.2">
      <c r="A72" s="2"/>
      <c r="B72" s="8"/>
      <c r="C72" s="10"/>
      <c r="D72" s="31"/>
      <c r="E72" s="4"/>
      <c r="F72" s="4"/>
      <c r="G72" s="4"/>
      <c r="H72" s="5"/>
      <c r="I72" s="4"/>
      <c r="J72" s="5"/>
      <c r="K72" s="5"/>
      <c r="L72" s="95"/>
    </row>
    <row r="73" spans="1:12" s="7" customFormat="1" ht="24.75" customHeight="1" x14ac:dyDescent="0.2">
      <c r="A73" s="2"/>
      <c r="B73" s="8"/>
      <c r="C73" s="11"/>
      <c r="D73" s="31"/>
      <c r="E73" s="4"/>
      <c r="F73" s="4"/>
      <c r="G73" s="4"/>
      <c r="H73" s="5"/>
      <c r="I73" s="4"/>
      <c r="J73" s="5"/>
      <c r="K73" s="5"/>
      <c r="L73" s="95"/>
    </row>
    <row r="74" spans="1:12" s="7" customFormat="1" ht="24.75" customHeight="1" x14ac:dyDescent="0.2">
      <c r="A74" s="2"/>
      <c r="B74" s="8"/>
      <c r="C74" s="10"/>
      <c r="D74" s="31"/>
      <c r="E74" s="4"/>
      <c r="F74" s="4"/>
      <c r="G74" s="4"/>
      <c r="H74" s="5"/>
      <c r="I74" s="4"/>
      <c r="J74" s="5"/>
      <c r="K74" s="5"/>
      <c r="L74" s="95"/>
    </row>
    <row r="75" spans="1:12" s="7" customFormat="1" ht="24.75" customHeight="1" x14ac:dyDescent="0.2">
      <c r="A75" s="2"/>
      <c r="B75" s="8"/>
      <c r="C75" s="10"/>
      <c r="D75" s="31"/>
      <c r="E75" s="4"/>
      <c r="F75" s="4"/>
      <c r="G75" s="4"/>
      <c r="H75" s="5"/>
      <c r="I75" s="4"/>
      <c r="J75" s="5"/>
      <c r="K75" s="5"/>
      <c r="L75" s="95"/>
    </row>
    <row r="76" spans="1:12" s="7" customFormat="1" ht="24.75" customHeight="1" x14ac:dyDescent="0.2">
      <c r="A76" s="2"/>
      <c r="B76" s="8"/>
      <c r="C76" s="10"/>
      <c r="D76" s="31"/>
      <c r="E76" s="4"/>
      <c r="F76" s="4"/>
      <c r="G76" s="4"/>
      <c r="H76" s="5"/>
      <c r="I76" s="4"/>
      <c r="J76" s="5"/>
      <c r="K76" s="5"/>
      <c r="L76" s="95"/>
    </row>
    <row r="77" spans="1:12" s="7" customFormat="1" ht="24.75" customHeight="1" x14ac:dyDescent="0.2">
      <c r="A77" s="8"/>
      <c r="B77" s="8"/>
      <c r="C77" s="10"/>
      <c r="D77" s="31"/>
      <c r="E77" s="4"/>
      <c r="F77" s="4"/>
      <c r="G77" s="4"/>
      <c r="H77" s="5"/>
      <c r="I77" s="4"/>
      <c r="J77" s="5"/>
      <c r="K77" s="5"/>
      <c r="L77" s="95"/>
    </row>
    <row r="78" spans="1:12" s="7" customFormat="1" ht="24.75" customHeight="1" x14ac:dyDescent="0.2">
      <c r="A78" s="8"/>
      <c r="B78" s="8"/>
      <c r="C78" s="10"/>
      <c r="D78" s="31"/>
      <c r="E78" s="4"/>
      <c r="F78" s="4"/>
      <c r="G78" s="4"/>
      <c r="H78" s="5"/>
      <c r="I78" s="4"/>
      <c r="J78" s="5"/>
      <c r="K78" s="5"/>
      <c r="L78" s="95"/>
    </row>
    <row r="79" spans="1:12" s="7" customFormat="1" ht="24.75" customHeight="1" x14ac:dyDescent="0.2">
      <c r="A79" s="8"/>
      <c r="B79" s="8"/>
      <c r="C79" s="10"/>
      <c r="D79" s="31"/>
      <c r="E79" s="4"/>
      <c r="F79" s="4"/>
      <c r="G79" s="4"/>
      <c r="H79" s="5"/>
      <c r="I79" s="4"/>
      <c r="J79" s="5"/>
      <c r="K79" s="5"/>
      <c r="L79" s="95"/>
    </row>
    <row r="80" spans="1:12" s="7" customFormat="1" ht="24.75" customHeight="1" x14ac:dyDescent="0.2">
      <c r="A80" s="8"/>
      <c r="B80" s="8"/>
      <c r="C80" s="10"/>
      <c r="D80" s="31"/>
      <c r="E80" s="4"/>
      <c r="F80" s="4"/>
      <c r="G80" s="4"/>
      <c r="H80" s="5"/>
      <c r="I80" s="4"/>
      <c r="J80" s="5"/>
      <c r="K80" s="5"/>
      <c r="L80" s="95"/>
    </row>
    <row r="81" spans="1:23" s="7" customFormat="1" ht="24.75" customHeight="1" x14ac:dyDescent="0.2">
      <c r="A81" s="8"/>
      <c r="B81" s="8"/>
      <c r="C81" s="10"/>
      <c r="D81" s="31"/>
      <c r="E81" s="4"/>
      <c r="F81" s="4"/>
      <c r="G81" s="4"/>
      <c r="H81" s="5"/>
      <c r="I81" s="4"/>
      <c r="J81" s="5"/>
      <c r="K81" s="5"/>
      <c r="L81" s="95"/>
    </row>
    <row r="82" spans="1:23" s="7" customFormat="1" ht="24.75" customHeight="1" x14ac:dyDescent="0.2">
      <c r="A82" s="8"/>
      <c r="B82" s="8"/>
      <c r="C82" s="10"/>
      <c r="D82" s="31"/>
      <c r="E82" s="4"/>
      <c r="F82" s="4"/>
      <c r="G82" s="4"/>
      <c r="H82" s="5"/>
      <c r="I82" s="4"/>
      <c r="J82" s="5"/>
      <c r="K82" s="5"/>
      <c r="L82" s="95"/>
    </row>
    <row r="83" spans="1:23" s="7" customFormat="1" ht="24.75" customHeight="1" x14ac:dyDescent="0.2">
      <c r="A83" s="8"/>
      <c r="B83" s="8"/>
      <c r="C83" s="10"/>
      <c r="D83" s="31"/>
      <c r="E83" s="4"/>
      <c r="F83" s="4"/>
      <c r="G83" s="4"/>
      <c r="H83" s="5"/>
      <c r="I83" s="4"/>
      <c r="J83" s="5"/>
      <c r="K83" s="5"/>
    </row>
    <row r="84" spans="1:23" s="7" customFormat="1" ht="24.75" customHeight="1" x14ac:dyDescent="0.2">
      <c r="A84" s="8"/>
      <c r="B84" s="8"/>
      <c r="C84" s="10"/>
      <c r="D84" s="31"/>
      <c r="E84" s="4"/>
      <c r="F84" s="4"/>
      <c r="G84" s="4"/>
      <c r="H84" s="5"/>
      <c r="I84" s="4"/>
      <c r="J84" s="5"/>
      <c r="K84" s="5"/>
    </row>
    <row r="85" spans="1:23" s="7" customFormat="1" ht="24.75" customHeight="1" x14ac:dyDescent="0.2">
      <c r="A85" s="8"/>
      <c r="B85" s="8"/>
      <c r="C85" s="10"/>
      <c r="D85" s="31"/>
      <c r="E85" s="4"/>
      <c r="F85" s="4"/>
      <c r="G85" s="4"/>
      <c r="H85" s="5"/>
      <c r="I85" s="4"/>
      <c r="J85" s="5"/>
      <c r="K85" s="5"/>
    </row>
    <row r="86" spans="1:23" s="7" customFormat="1" ht="24.75" customHeight="1" x14ac:dyDescent="0.2">
      <c r="A86" s="8"/>
      <c r="B86" s="8"/>
      <c r="C86" s="10"/>
      <c r="D86" s="31"/>
      <c r="E86" s="4"/>
      <c r="F86" s="4"/>
      <c r="G86" s="4"/>
      <c r="H86" s="5"/>
      <c r="I86" s="4"/>
      <c r="J86" s="5"/>
      <c r="K86" s="5"/>
    </row>
    <row r="87" spans="1:23" s="7" customFormat="1" ht="24.75" customHeight="1" x14ac:dyDescent="0.2">
      <c r="A87" s="8"/>
      <c r="B87" s="8"/>
      <c r="C87" s="10"/>
      <c r="D87" s="31"/>
      <c r="E87" s="4"/>
      <c r="F87" s="4"/>
      <c r="G87" s="4"/>
      <c r="H87" s="5"/>
      <c r="I87" s="4"/>
      <c r="J87" s="5"/>
      <c r="K87" s="5"/>
    </row>
    <row r="88" spans="1:23" ht="24.75" customHeight="1" x14ac:dyDescent="0.2">
      <c r="A88" s="8"/>
      <c r="B88" s="8"/>
      <c r="C88" s="10"/>
      <c r="H88" s="5"/>
      <c r="J88" s="5"/>
      <c r="K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24.75" customHeight="1" x14ac:dyDescent="0.2">
      <c r="A89" s="8"/>
      <c r="B89" s="8"/>
      <c r="C89" s="10"/>
      <c r="H89" s="5"/>
      <c r="J89" s="5"/>
      <c r="K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24.75" customHeight="1" x14ac:dyDescent="0.2">
      <c r="A90" s="8"/>
      <c r="B90" s="8"/>
      <c r="C90" s="10"/>
      <c r="H90" s="5"/>
      <c r="J90" s="5"/>
      <c r="K90" s="5"/>
      <c r="N90" s="29"/>
      <c r="O90" s="29"/>
      <c r="P90" s="29"/>
      <c r="Q90" s="29"/>
    </row>
    <row r="91" spans="1:23" ht="24.75" customHeight="1" x14ac:dyDescent="0.2">
      <c r="A91" s="8"/>
      <c r="B91" s="8"/>
      <c r="C91" s="10"/>
      <c r="H91" s="5"/>
      <c r="J91" s="5"/>
      <c r="K91" s="5"/>
      <c r="N91" s="29"/>
      <c r="O91" s="29"/>
      <c r="P91" s="29"/>
      <c r="Q91" s="29"/>
    </row>
    <row r="92" spans="1:23" ht="24.75" customHeight="1" x14ac:dyDescent="0.2">
      <c r="A92" s="8"/>
      <c r="B92" s="8"/>
      <c r="C92" s="10"/>
      <c r="H92" s="5"/>
      <c r="J92" s="5"/>
      <c r="K92" s="5"/>
      <c r="N92" s="29"/>
      <c r="O92" s="29"/>
      <c r="P92" s="29"/>
      <c r="Q92" s="29"/>
    </row>
    <row r="93" spans="1:23" ht="24.75" customHeight="1" x14ac:dyDescent="0.2">
      <c r="A93" s="8"/>
      <c r="B93" s="8"/>
      <c r="C93" s="11"/>
      <c r="H93" s="5"/>
      <c r="J93" s="5"/>
      <c r="K93" s="5"/>
      <c r="N93" s="29"/>
      <c r="O93" s="29"/>
      <c r="P93" s="29"/>
      <c r="Q93" s="29"/>
    </row>
    <row r="94" spans="1:23" ht="24.75" customHeight="1" x14ac:dyDescent="0.2">
      <c r="A94" s="8"/>
      <c r="B94" s="8"/>
      <c r="C94" s="11"/>
      <c r="H94" s="5"/>
      <c r="J94" s="5"/>
      <c r="K94" s="5"/>
      <c r="N94" s="29"/>
      <c r="O94" s="29"/>
      <c r="P94" s="29"/>
      <c r="Q94" s="29"/>
    </row>
    <row r="95" spans="1:23" ht="24.75" customHeight="1" x14ac:dyDescent="0.2">
      <c r="A95" s="8"/>
      <c r="B95" s="8"/>
      <c r="C95" s="11"/>
      <c r="H95" s="5"/>
      <c r="J95" s="5"/>
      <c r="K95" s="5"/>
      <c r="M95" s="30"/>
      <c r="N95" s="29"/>
      <c r="O95" s="29"/>
      <c r="P95" s="29"/>
      <c r="Q95" s="29"/>
    </row>
    <row r="96" spans="1:23" ht="24.75" customHeight="1" x14ac:dyDescent="0.2">
      <c r="A96" s="8"/>
      <c r="B96" s="8"/>
      <c r="C96" s="10"/>
      <c r="H96" s="5"/>
      <c r="J96" s="5"/>
      <c r="K96" s="5"/>
      <c r="M96" s="30"/>
      <c r="N96" s="29"/>
      <c r="O96" s="29"/>
      <c r="P96" s="29"/>
      <c r="Q96" s="29"/>
    </row>
    <row r="97" spans="1:11" ht="24.75" customHeight="1" x14ac:dyDescent="0.2">
      <c r="A97" s="8"/>
      <c r="B97" s="8"/>
      <c r="C97" s="10"/>
      <c r="H97" s="5"/>
      <c r="J97" s="5"/>
      <c r="K97" s="5"/>
    </row>
    <row r="98" spans="1:11" ht="24.75" customHeight="1" x14ac:dyDescent="0.2">
      <c r="A98" s="8"/>
      <c r="B98" s="8"/>
      <c r="C98" s="10"/>
      <c r="H98" s="5"/>
      <c r="J98" s="5"/>
      <c r="K98" s="5"/>
    </row>
    <row r="99" spans="1:11" ht="24.75" customHeight="1" x14ac:dyDescent="0.2">
      <c r="A99" s="8"/>
      <c r="B99" s="8"/>
      <c r="C99" s="10"/>
      <c r="H99" s="5"/>
      <c r="J99" s="5"/>
      <c r="K99" s="5"/>
    </row>
    <row r="100" spans="1:11" ht="24.75" customHeight="1" x14ac:dyDescent="0.2">
      <c r="A100" s="8"/>
      <c r="B100" s="8"/>
      <c r="C100" s="10"/>
      <c r="H100" s="5"/>
      <c r="J100" s="5"/>
      <c r="K100" s="5"/>
    </row>
    <row r="101" spans="1:11" ht="24.75" customHeight="1" x14ac:dyDescent="0.2">
      <c r="A101" s="8"/>
      <c r="B101" s="8"/>
      <c r="C101" s="10"/>
      <c r="H101" s="5"/>
      <c r="J101" s="5"/>
      <c r="K101" s="5"/>
    </row>
    <row r="102" spans="1:11" ht="24.75" customHeight="1" x14ac:dyDescent="0.2">
      <c r="A102" s="8"/>
      <c r="B102" s="8"/>
      <c r="C102" s="10"/>
      <c r="H102" s="5"/>
      <c r="J102" s="5"/>
      <c r="K102" s="5"/>
    </row>
    <row r="103" spans="1:11" ht="24.75" customHeight="1" x14ac:dyDescent="0.2">
      <c r="A103" s="8"/>
      <c r="B103" s="8"/>
      <c r="C103" s="10"/>
      <c r="H103" s="5"/>
      <c r="J103" s="5"/>
      <c r="K103" s="5"/>
    </row>
    <row r="104" spans="1:11" ht="24.75" customHeight="1" x14ac:dyDescent="0.2">
      <c r="A104" s="8"/>
      <c r="B104" s="8"/>
      <c r="C104" s="10"/>
      <c r="H104" s="5"/>
      <c r="J104" s="5"/>
      <c r="K104" s="5"/>
    </row>
    <row r="105" spans="1:11" ht="24.75" customHeight="1" x14ac:dyDescent="0.2">
      <c r="A105" s="8"/>
      <c r="B105" s="8"/>
      <c r="C105" s="10"/>
      <c r="H105" s="5"/>
      <c r="J105" s="5"/>
      <c r="K105" s="5"/>
    </row>
    <row r="106" spans="1:11" ht="24.75" customHeight="1" x14ac:dyDescent="0.2">
      <c r="A106" s="8"/>
      <c r="B106" s="8"/>
      <c r="C106" s="10"/>
      <c r="H106" s="5"/>
      <c r="J106" s="5"/>
      <c r="K106" s="5"/>
    </row>
    <row r="107" spans="1:11" ht="24.75" customHeight="1" x14ac:dyDescent="0.2">
      <c r="A107" s="8"/>
      <c r="B107" s="8"/>
      <c r="C107" s="10"/>
      <c r="H107" s="5"/>
      <c r="J107" s="5"/>
      <c r="K107" s="5"/>
    </row>
    <row r="108" spans="1:11" ht="24.75" customHeight="1" x14ac:dyDescent="0.2">
      <c r="A108" s="8"/>
      <c r="B108" s="8"/>
      <c r="C108" s="10"/>
      <c r="H108" s="5"/>
      <c r="J108" s="5"/>
      <c r="K108" s="5"/>
    </row>
    <row r="109" spans="1:11" ht="24.75" customHeight="1" x14ac:dyDescent="0.2">
      <c r="A109" s="8"/>
      <c r="B109" s="8"/>
      <c r="C109" s="10"/>
      <c r="H109" s="5"/>
      <c r="J109" s="5"/>
      <c r="K109" s="5"/>
    </row>
    <row r="110" spans="1:11" ht="24.75" customHeight="1" x14ac:dyDescent="0.2">
      <c r="A110" s="8"/>
      <c r="B110" s="8"/>
      <c r="C110" s="10"/>
      <c r="H110" s="5"/>
      <c r="J110" s="5"/>
      <c r="K110" s="5"/>
    </row>
    <row r="111" spans="1:11" ht="24.75" customHeight="1" x14ac:dyDescent="0.2">
      <c r="A111" s="8"/>
      <c r="B111" s="8"/>
      <c r="C111" s="10"/>
      <c r="H111" s="5"/>
      <c r="J111" s="5"/>
      <c r="K111" s="5"/>
    </row>
    <row r="112" spans="1:11" ht="24.75" customHeight="1" x14ac:dyDescent="0.2">
      <c r="A112" s="8"/>
      <c r="B112" s="8"/>
      <c r="C112" s="10"/>
      <c r="H112" s="5"/>
      <c r="J112" s="5"/>
      <c r="K112" s="5"/>
    </row>
    <row r="113" spans="1:11" ht="24.75" customHeight="1" x14ac:dyDescent="0.2">
      <c r="A113" s="8"/>
      <c r="B113" s="8"/>
      <c r="C113" s="10"/>
      <c r="H113" s="5"/>
      <c r="J113" s="5"/>
      <c r="K113" s="5"/>
    </row>
    <row r="114" spans="1:11" ht="24.75" customHeight="1" x14ac:dyDescent="0.2">
      <c r="A114" s="8"/>
      <c r="B114" s="8"/>
      <c r="C114" s="10"/>
      <c r="H114" s="5"/>
      <c r="J114" s="5"/>
      <c r="K114" s="5"/>
    </row>
    <row r="115" spans="1:11" ht="24.75" customHeight="1" x14ac:dyDescent="0.2">
      <c r="A115" s="8"/>
      <c r="B115" s="8"/>
      <c r="C115" s="10"/>
      <c r="H115" s="5"/>
      <c r="J115" s="5"/>
      <c r="K115" s="5"/>
    </row>
    <row r="116" spans="1:11" ht="24.75" customHeight="1" x14ac:dyDescent="0.2">
      <c r="A116" s="8"/>
      <c r="B116" s="8"/>
      <c r="C116" s="10"/>
      <c r="H116" s="5"/>
      <c r="J116" s="5"/>
      <c r="K116" s="5"/>
    </row>
    <row r="117" spans="1:11" ht="24.75" customHeight="1" x14ac:dyDescent="0.2">
      <c r="A117" s="8"/>
      <c r="B117" s="8"/>
      <c r="C117" s="10"/>
      <c r="H117" s="5"/>
      <c r="J117" s="5"/>
      <c r="K117" s="5"/>
    </row>
    <row r="118" spans="1:11" ht="24.75" customHeight="1" x14ac:dyDescent="0.2">
      <c r="A118" s="8"/>
      <c r="B118" s="8"/>
      <c r="C118" s="10"/>
      <c r="H118" s="5"/>
      <c r="J118" s="5"/>
      <c r="K118" s="5"/>
    </row>
    <row r="119" spans="1:11" ht="24.75" customHeight="1" x14ac:dyDescent="0.2">
      <c r="A119" s="8"/>
      <c r="B119" s="8"/>
      <c r="C119" s="10"/>
      <c r="H119" s="5"/>
      <c r="J119" s="5"/>
      <c r="K119" s="5"/>
    </row>
    <row r="120" spans="1:11" ht="24.75" customHeight="1" x14ac:dyDescent="0.2">
      <c r="A120" s="8"/>
      <c r="B120" s="8"/>
      <c r="C120" s="10"/>
      <c r="H120" s="5"/>
      <c r="J120" s="5"/>
      <c r="K120" s="5"/>
    </row>
    <row r="121" spans="1:11" ht="24.75" customHeight="1" x14ac:dyDescent="0.2">
      <c r="A121" s="8"/>
      <c r="B121" s="8"/>
      <c r="C121" s="10"/>
      <c r="H121" s="5"/>
      <c r="J121" s="5"/>
      <c r="K121" s="5"/>
    </row>
    <row r="122" spans="1:11" ht="24.75" customHeight="1" x14ac:dyDescent="0.2">
      <c r="A122" s="8"/>
      <c r="B122" s="8"/>
      <c r="C122" s="11"/>
      <c r="H122" s="5"/>
      <c r="J122" s="5"/>
      <c r="K122" s="5"/>
    </row>
    <row r="123" spans="1:11" ht="24.75" customHeight="1" x14ac:dyDescent="0.2">
      <c r="A123" s="8"/>
      <c r="B123" s="8"/>
      <c r="C123" s="11"/>
      <c r="H123" s="5"/>
      <c r="J123" s="5"/>
      <c r="K123" s="5"/>
    </row>
    <row r="124" spans="1:11" ht="24.75" customHeight="1" x14ac:dyDescent="0.2">
      <c r="A124" s="8"/>
      <c r="B124" s="8"/>
      <c r="C124" s="11"/>
      <c r="H124" s="5"/>
      <c r="J124" s="5"/>
      <c r="K124" s="5"/>
    </row>
    <row r="125" spans="1:11" ht="24.75" customHeight="1" x14ac:dyDescent="0.2">
      <c r="A125" s="8"/>
      <c r="B125" s="8"/>
      <c r="C125" s="11"/>
      <c r="H125" s="5"/>
      <c r="J125" s="5"/>
      <c r="K125" s="5"/>
    </row>
    <row r="126" spans="1:11" ht="24.75" customHeight="1" x14ac:dyDescent="0.2">
      <c r="A126" s="8"/>
      <c r="B126" s="8"/>
      <c r="C126" s="11"/>
      <c r="H126" s="5"/>
      <c r="J126" s="5"/>
      <c r="K126" s="5"/>
    </row>
    <row r="127" spans="1:11" ht="24.75" customHeight="1" x14ac:dyDescent="0.2">
      <c r="A127" s="8"/>
      <c r="B127" s="8"/>
      <c r="C127" s="11"/>
      <c r="H127" s="5"/>
      <c r="J127" s="5"/>
      <c r="K127" s="5"/>
    </row>
    <row r="128" spans="1:11" ht="24.75" customHeight="1" x14ac:dyDescent="0.2">
      <c r="A128" s="8"/>
      <c r="B128" s="8"/>
      <c r="C128" s="10"/>
      <c r="H128" s="5"/>
      <c r="J128" s="5"/>
      <c r="K128" s="5"/>
    </row>
    <row r="129" spans="1:11" ht="24.75" customHeight="1" x14ac:dyDescent="0.2">
      <c r="A129" s="8"/>
      <c r="B129" s="8"/>
      <c r="C129" s="11"/>
      <c r="H129" s="5"/>
      <c r="J129" s="5"/>
      <c r="K129" s="5"/>
    </row>
    <row r="130" spans="1:11" ht="24.75" customHeight="1" x14ac:dyDescent="0.2">
      <c r="A130" s="8"/>
      <c r="B130" s="8"/>
      <c r="C130" s="11"/>
      <c r="H130" s="5"/>
      <c r="J130" s="5"/>
      <c r="K130" s="5"/>
    </row>
    <row r="131" spans="1:11" ht="24.75" customHeight="1" x14ac:dyDescent="0.2">
      <c r="A131" s="8"/>
      <c r="B131" s="8"/>
      <c r="C131" s="11"/>
      <c r="H131" s="5"/>
      <c r="J131" s="5"/>
      <c r="K131" s="5"/>
    </row>
    <row r="132" spans="1:11" ht="24.75" customHeight="1" x14ac:dyDescent="0.2">
      <c r="A132" s="8"/>
      <c r="B132" s="8"/>
      <c r="C132" s="10"/>
      <c r="H132" s="5"/>
      <c r="J132" s="5"/>
      <c r="K132" s="5"/>
    </row>
    <row r="133" spans="1:11" ht="24.75" customHeight="1" x14ac:dyDescent="0.2">
      <c r="A133" s="8"/>
      <c r="B133" s="8"/>
      <c r="C133" s="10"/>
      <c r="H133" s="5"/>
      <c r="J133" s="5"/>
      <c r="K133" s="5"/>
    </row>
    <row r="134" spans="1:11" ht="24.75" customHeight="1" x14ac:dyDescent="0.2">
      <c r="A134" s="8"/>
      <c r="B134" s="8"/>
      <c r="C134" s="11"/>
      <c r="H134" s="5"/>
      <c r="J134" s="5"/>
      <c r="K134" s="5"/>
    </row>
    <row r="135" spans="1:11" ht="24.75" customHeight="1" x14ac:dyDescent="0.2">
      <c r="A135" s="8"/>
      <c r="B135" s="8"/>
      <c r="C135" s="11"/>
      <c r="H135" s="5"/>
      <c r="J135" s="5"/>
      <c r="K135" s="5"/>
    </row>
    <row r="136" spans="1:11" ht="24.75" customHeight="1" x14ac:dyDescent="0.2">
      <c r="A136" s="8"/>
      <c r="B136" s="8"/>
      <c r="C136" s="10"/>
      <c r="H136" s="5"/>
      <c r="J136" s="5"/>
      <c r="K136" s="5"/>
    </row>
    <row r="137" spans="1:11" ht="24.75" customHeight="1" x14ac:dyDescent="0.2">
      <c r="A137" s="8"/>
      <c r="B137" s="9"/>
      <c r="C137" s="10"/>
      <c r="H137" s="5"/>
      <c r="J137" s="5"/>
      <c r="K137" s="5"/>
    </row>
    <row r="138" spans="1:11" ht="24.75" customHeight="1" x14ac:dyDescent="0.2">
      <c r="A138" s="8"/>
      <c r="B138" s="8"/>
      <c r="C138" s="10"/>
      <c r="H138" s="5"/>
      <c r="J138" s="5"/>
      <c r="K138" s="5"/>
    </row>
    <row r="139" spans="1:11" ht="24.75" customHeight="1" x14ac:dyDescent="0.2">
      <c r="A139" s="8"/>
      <c r="B139" s="8"/>
      <c r="C139" s="10"/>
      <c r="H139" s="5"/>
      <c r="J139" s="5"/>
      <c r="K139" s="5"/>
    </row>
    <row r="140" spans="1:11" ht="24.75" customHeight="1" x14ac:dyDescent="0.2">
      <c r="A140" s="8"/>
      <c r="B140" s="8"/>
      <c r="C140" s="10"/>
      <c r="H140" s="5"/>
      <c r="J140" s="5"/>
      <c r="K140" s="5"/>
    </row>
    <row r="141" spans="1:11" ht="24.75" customHeight="1" x14ac:dyDescent="0.2">
      <c r="A141" s="8"/>
      <c r="B141" s="8"/>
      <c r="C141" s="10"/>
      <c r="H141" s="5"/>
      <c r="J141" s="5"/>
      <c r="K141" s="5"/>
    </row>
    <row r="142" spans="1:11" ht="24.75" customHeight="1" x14ac:dyDescent="0.2">
      <c r="A142" s="8"/>
      <c r="B142" s="8"/>
      <c r="C142" s="10"/>
      <c r="H142" s="5"/>
      <c r="J142" s="5"/>
      <c r="K142" s="5"/>
    </row>
    <row r="143" spans="1:11" ht="24.75" customHeight="1" x14ac:dyDescent="0.2">
      <c r="A143" s="8"/>
      <c r="B143" s="8"/>
      <c r="C143" s="10"/>
      <c r="H143" s="5"/>
      <c r="J143" s="5"/>
      <c r="K143" s="5"/>
    </row>
    <row r="144" spans="1:11" ht="24.75" customHeight="1" x14ac:dyDescent="0.2">
      <c r="A144" s="8"/>
      <c r="B144" s="8"/>
      <c r="C144" s="10"/>
      <c r="H144" s="5"/>
      <c r="J144" s="5"/>
      <c r="K144" s="5"/>
    </row>
    <row r="145" spans="1:11" ht="24.75" customHeight="1" x14ac:dyDescent="0.2">
      <c r="A145" s="8"/>
      <c r="B145" s="8"/>
      <c r="C145" s="10"/>
      <c r="H145" s="5"/>
      <c r="J145" s="5"/>
      <c r="K145" s="5"/>
    </row>
    <row r="146" spans="1:11" ht="24.75" customHeight="1" x14ac:dyDescent="0.2">
      <c r="A146" s="8"/>
      <c r="B146" s="8"/>
      <c r="C146" s="10"/>
      <c r="H146" s="5"/>
      <c r="J146" s="5"/>
      <c r="K146" s="5"/>
    </row>
    <row r="147" spans="1:11" ht="24.75" customHeight="1" x14ac:dyDescent="0.2">
      <c r="A147" s="8"/>
      <c r="B147" s="8"/>
      <c r="C147" s="10"/>
      <c r="H147" s="5"/>
      <c r="J147" s="5"/>
      <c r="K147" s="5"/>
    </row>
    <row r="148" spans="1:11" ht="24.75" customHeight="1" x14ac:dyDescent="0.2">
      <c r="A148" s="8"/>
      <c r="B148" s="8"/>
      <c r="C148" s="10"/>
      <c r="H148" s="5"/>
      <c r="J148" s="5"/>
      <c r="K148" s="5"/>
    </row>
    <row r="149" spans="1:11" ht="24.75" customHeight="1" x14ac:dyDescent="0.2">
      <c r="A149" s="8"/>
      <c r="B149" s="8"/>
      <c r="C149" s="10"/>
      <c r="H149" s="5"/>
      <c r="J149" s="5"/>
      <c r="K149" s="5"/>
    </row>
    <row r="150" spans="1:11" ht="24.75" customHeight="1" x14ac:dyDescent="0.2">
      <c r="A150" s="8"/>
      <c r="B150" s="8"/>
      <c r="C150" s="10"/>
      <c r="H150" s="5"/>
      <c r="J150" s="5"/>
      <c r="K150" s="5"/>
    </row>
    <row r="151" spans="1:11" ht="24.75" customHeight="1" x14ac:dyDescent="0.2">
      <c r="A151" s="8"/>
      <c r="B151" s="8"/>
      <c r="C151" s="10"/>
      <c r="H151" s="5"/>
      <c r="J151" s="5"/>
      <c r="K151" s="5"/>
    </row>
    <row r="152" spans="1:11" ht="24.75" customHeight="1" x14ac:dyDescent="0.2">
      <c r="A152" s="8"/>
      <c r="B152" s="8"/>
      <c r="C152" s="10"/>
      <c r="H152" s="5"/>
      <c r="J152" s="5"/>
      <c r="K152" s="5"/>
    </row>
    <row r="153" spans="1:11" ht="24.75" customHeight="1" x14ac:dyDescent="0.2">
      <c r="A153" s="8"/>
      <c r="B153" s="8"/>
      <c r="C153" s="11"/>
      <c r="H153" s="5"/>
      <c r="J153" s="5"/>
      <c r="K153" s="5"/>
    </row>
    <row r="154" spans="1:11" ht="24.75" customHeight="1" x14ac:dyDescent="0.2">
      <c r="A154" s="8"/>
      <c r="B154" s="8"/>
      <c r="C154" s="11"/>
      <c r="H154" s="5"/>
      <c r="J154" s="5"/>
      <c r="K154" s="5"/>
    </row>
    <row r="155" spans="1:11" ht="24.75" customHeight="1" x14ac:dyDescent="0.2">
      <c r="A155" s="8"/>
      <c r="B155" s="8"/>
      <c r="C155" s="10"/>
      <c r="H155" s="5"/>
      <c r="J155" s="5"/>
      <c r="K155" s="5"/>
    </row>
    <row r="156" spans="1:11" ht="24.75" customHeight="1" x14ac:dyDescent="0.2">
      <c r="A156" s="8"/>
      <c r="B156" s="8"/>
      <c r="C156" s="10"/>
      <c r="H156" s="5"/>
      <c r="J156" s="5"/>
      <c r="K156" s="5"/>
    </row>
    <row r="157" spans="1:11" ht="24.75" customHeight="1" x14ac:dyDescent="0.2">
      <c r="A157" s="8"/>
      <c r="B157" s="8"/>
      <c r="C157" s="10"/>
      <c r="H157" s="5"/>
      <c r="J157" s="5"/>
      <c r="K157" s="5"/>
    </row>
    <row r="158" spans="1:11" ht="24.75" customHeight="1" x14ac:dyDescent="0.2">
      <c r="A158" s="8"/>
      <c r="B158" s="8"/>
      <c r="C158" s="10"/>
      <c r="H158" s="5"/>
      <c r="J158" s="5"/>
      <c r="K158" s="5"/>
    </row>
    <row r="159" spans="1:11" ht="24.75" customHeight="1" x14ac:dyDescent="0.2">
      <c r="A159" s="8"/>
      <c r="B159" s="9"/>
      <c r="C159" s="10"/>
      <c r="H159" s="5"/>
      <c r="J159" s="5"/>
      <c r="K159" s="5"/>
    </row>
    <row r="160" spans="1:11" ht="24.75" customHeight="1" x14ac:dyDescent="0.2">
      <c r="A160" s="8"/>
      <c r="B160" s="8"/>
      <c r="C160" s="10"/>
      <c r="H160" s="5"/>
      <c r="J160" s="5"/>
      <c r="K160" s="5"/>
    </row>
    <row r="161" spans="1:11" ht="24.75" customHeight="1" x14ac:dyDescent="0.2">
      <c r="A161" s="8"/>
      <c r="B161" s="8"/>
      <c r="C161" s="10"/>
      <c r="H161" s="5"/>
      <c r="J161" s="5"/>
      <c r="K161" s="5"/>
    </row>
    <row r="162" spans="1:11" ht="24.75" customHeight="1" x14ac:dyDescent="0.2">
      <c r="A162" s="8"/>
      <c r="B162" s="8"/>
      <c r="C162" s="10"/>
      <c r="H162" s="5"/>
      <c r="J162" s="5"/>
      <c r="K162" s="5"/>
    </row>
    <row r="163" spans="1:11" ht="24.75" customHeight="1" x14ac:dyDescent="0.2">
      <c r="A163" s="8"/>
      <c r="B163" s="8"/>
      <c r="C163" s="10"/>
      <c r="H163" s="5"/>
      <c r="J163" s="5"/>
      <c r="K163" s="5"/>
    </row>
    <row r="164" spans="1:11" ht="24.75" customHeight="1" x14ac:dyDescent="0.2">
      <c r="A164" s="8"/>
      <c r="B164" s="8"/>
      <c r="C164" s="10"/>
      <c r="H164" s="5"/>
      <c r="J164" s="5"/>
      <c r="K164" s="5"/>
    </row>
    <row r="165" spans="1:11" ht="24.75" customHeight="1" x14ac:dyDescent="0.2">
      <c r="A165" s="8"/>
      <c r="B165" s="8"/>
      <c r="C165" s="10"/>
      <c r="H165" s="5"/>
      <c r="J165" s="5"/>
      <c r="K165" s="5"/>
    </row>
    <row r="166" spans="1:11" ht="24.75" customHeight="1" x14ac:dyDescent="0.2">
      <c r="A166" s="8"/>
      <c r="B166" s="8"/>
      <c r="C166" s="10"/>
      <c r="H166" s="5"/>
      <c r="J166" s="5"/>
      <c r="K166" s="5"/>
    </row>
    <row r="167" spans="1:11" ht="24.75" customHeight="1" x14ac:dyDescent="0.2">
      <c r="A167" s="8"/>
      <c r="B167" s="8"/>
      <c r="C167" s="11"/>
      <c r="H167" s="5"/>
      <c r="J167" s="5"/>
      <c r="K167" s="5"/>
    </row>
    <row r="168" spans="1:11" ht="24.75" customHeight="1" x14ac:dyDescent="0.2">
      <c r="A168" s="8"/>
      <c r="B168" s="8"/>
      <c r="C168" s="11"/>
      <c r="H168" s="5"/>
      <c r="J168" s="5"/>
      <c r="K168" s="5"/>
    </row>
    <row r="169" spans="1:11" ht="24.75" customHeight="1" x14ac:dyDescent="0.2">
      <c r="B169" s="9"/>
      <c r="C169" s="12"/>
      <c r="H169" s="5"/>
      <c r="J169" s="5"/>
      <c r="K169" s="5"/>
    </row>
    <row r="170" spans="1:11" ht="24.75" customHeight="1" x14ac:dyDescent="0.2">
      <c r="A170" s="8"/>
      <c r="B170" s="8"/>
      <c r="C170" s="10"/>
      <c r="H170" s="5"/>
      <c r="J170" s="5"/>
      <c r="K170" s="5"/>
    </row>
    <row r="171" spans="1:11" ht="24.75" customHeight="1" x14ac:dyDescent="0.2">
      <c r="A171" s="8"/>
      <c r="B171" s="8"/>
      <c r="C171" s="10"/>
      <c r="H171" s="5"/>
      <c r="J171" s="5"/>
      <c r="K171" s="5"/>
    </row>
    <row r="172" spans="1:11" ht="24.75" customHeight="1" x14ac:dyDescent="0.2">
      <c r="A172" s="8"/>
      <c r="B172" s="8"/>
      <c r="C172" s="10"/>
      <c r="H172" s="12"/>
      <c r="J172" s="12"/>
      <c r="K172" s="5"/>
    </row>
    <row r="173" spans="1:11" ht="24.75" customHeight="1" x14ac:dyDescent="0.2">
      <c r="A173" s="8"/>
      <c r="B173" s="8"/>
      <c r="C173" s="10"/>
      <c r="H173" s="5"/>
      <c r="J173" s="5"/>
      <c r="K173" s="5"/>
    </row>
    <row r="174" spans="1:11" ht="24.75" customHeight="1" x14ac:dyDescent="0.2">
      <c r="A174" s="8"/>
      <c r="B174" s="8"/>
      <c r="C174" s="10"/>
      <c r="H174" s="5"/>
      <c r="J174" s="5"/>
      <c r="K174" s="5"/>
    </row>
    <row r="175" spans="1:11" ht="24.75" customHeight="1" x14ac:dyDescent="0.2">
      <c r="A175" s="8"/>
      <c r="B175" s="8"/>
      <c r="C175" s="10"/>
      <c r="H175" s="12"/>
      <c r="J175" s="12"/>
      <c r="K175" s="5"/>
    </row>
    <row r="176" spans="1:11" ht="24.75" customHeight="1" x14ac:dyDescent="0.2">
      <c r="A176" s="8"/>
      <c r="B176" s="8"/>
      <c r="C176" s="10"/>
      <c r="H176" s="5"/>
      <c r="J176" s="5"/>
      <c r="K176" s="5"/>
    </row>
    <row r="177" spans="1:11" ht="24.75" customHeight="1" x14ac:dyDescent="0.2">
      <c r="A177" s="8"/>
      <c r="B177" s="8"/>
      <c r="C177" s="10"/>
      <c r="H177" s="5"/>
      <c r="J177" s="5"/>
      <c r="K177" s="5"/>
    </row>
    <row r="178" spans="1:11" ht="24.75" customHeight="1" x14ac:dyDescent="0.2">
      <c r="A178" s="8"/>
      <c r="B178" s="8"/>
      <c r="C178" s="10"/>
      <c r="H178" s="5"/>
      <c r="J178" s="5"/>
      <c r="K178" s="5"/>
    </row>
    <row r="179" spans="1:11" ht="24.75" customHeight="1" x14ac:dyDescent="0.2">
      <c r="A179" s="8"/>
      <c r="B179" s="8"/>
      <c r="C179" s="10"/>
      <c r="H179" s="5"/>
      <c r="J179" s="5"/>
      <c r="K179" s="5"/>
    </row>
    <row r="180" spans="1:11" ht="24.75" customHeight="1" x14ac:dyDescent="0.2">
      <c r="A180" s="8"/>
      <c r="B180" s="8"/>
      <c r="C180" s="10"/>
      <c r="H180" s="5"/>
      <c r="J180" s="5"/>
      <c r="K180" s="5"/>
    </row>
    <row r="181" spans="1:11" ht="24.75" customHeight="1" x14ac:dyDescent="0.2">
      <c r="A181" s="8"/>
      <c r="B181" s="8"/>
      <c r="C181" s="10"/>
      <c r="H181" s="5"/>
      <c r="J181" s="5"/>
      <c r="K181" s="5"/>
    </row>
    <row r="182" spans="1:11" ht="24.75" customHeight="1" x14ac:dyDescent="0.2">
      <c r="A182" s="8"/>
      <c r="B182" s="8"/>
      <c r="C182" s="10"/>
      <c r="H182" s="5"/>
      <c r="J182" s="5"/>
      <c r="K182" s="5"/>
    </row>
    <row r="183" spans="1:11" ht="24.75" customHeight="1" x14ac:dyDescent="0.2">
      <c r="A183" s="8"/>
      <c r="B183" s="8"/>
      <c r="C183" s="10"/>
      <c r="H183" s="5"/>
      <c r="J183" s="5"/>
      <c r="K183" s="5"/>
    </row>
    <row r="184" spans="1:11" ht="24.75" customHeight="1" x14ac:dyDescent="0.2">
      <c r="A184" s="8"/>
      <c r="B184" s="8"/>
      <c r="C184" s="10"/>
      <c r="H184" s="5"/>
      <c r="J184" s="5"/>
      <c r="K184" s="5"/>
    </row>
    <row r="185" spans="1:11" ht="24.75" customHeight="1" x14ac:dyDescent="0.2">
      <c r="A185" s="8"/>
      <c r="B185" s="8"/>
      <c r="C185" s="10"/>
      <c r="H185" s="5"/>
      <c r="J185" s="5"/>
      <c r="K185" s="5"/>
    </row>
    <row r="186" spans="1:11" ht="24.75" customHeight="1" x14ac:dyDescent="0.2">
      <c r="A186" s="8"/>
      <c r="B186" s="8"/>
      <c r="C186" s="10"/>
      <c r="H186" s="5"/>
      <c r="J186" s="5"/>
      <c r="K186" s="5"/>
    </row>
    <row r="187" spans="1:11" ht="24.75" customHeight="1" x14ac:dyDescent="0.2">
      <c r="A187" s="8"/>
      <c r="B187" s="8"/>
      <c r="C187" s="10"/>
      <c r="H187" s="5"/>
      <c r="J187" s="5"/>
      <c r="K187" s="5"/>
    </row>
    <row r="188" spans="1:11" ht="24.75" customHeight="1" x14ac:dyDescent="0.2">
      <c r="A188" s="8"/>
      <c r="B188" s="9"/>
      <c r="C188" s="12"/>
      <c r="H188" s="5"/>
      <c r="J188" s="5"/>
      <c r="K188" s="5"/>
    </row>
    <row r="189" spans="1:11" ht="24.75" customHeight="1" x14ac:dyDescent="0.2">
      <c r="A189" s="8"/>
      <c r="B189" s="8"/>
      <c r="C189" s="13"/>
      <c r="H189" s="5"/>
      <c r="J189" s="5"/>
      <c r="K189" s="5"/>
    </row>
    <row r="190" spans="1:11" ht="24.75" customHeight="1" x14ac:dyDescent="0.2">
      <c r="A190" s="8"/>
      <c r="B190" s="8"/>
      <c r="C190" s="11"/>
      <c r="E190" s="5"/>
      <c r="F190" s="5"/>
      <c r="K190" s="5"/>
    </row>
    <row r="191" spans="1:11" ht="24.75" customHeight="1" x14ac:dyDescent="0.2">
      <c r="A191" s="8"/>
      <c r="B191" s="8"/>
      <c r="C191" s="11"/>
      <c r="E191" s="5"/>
      <c r="F191" s="5"/>
      <c r="K191" s="5"/>
    </row>
    <row r="192" spans="1:11" ht="24.75" customHeight="1" x14ac:dyDescent="0.2">
      <c r="A192" s="8"/>
      <c r="B192" s="8"/>
      <c r="C192" s="11"/>
      <c r="E192" s="5"/>
      <c r="F192" s="5"/>
      <c r="K192" s="5"/>
    </row>
    <row r="193" spans="1:11" ht="24.75" customHeight="1" x14ac:dyDescent="0.2">
      <c r="A193" s="8"/>
      <c r="B193" s="8"/>
      <c r="C193" s="11"/>
      <c r="E193" s="5"/>
      <c r="F193" s="5"/>
      <c r="K193" s="5"/>
    </row>
    <row r="194" spans="1:11" ht="24.75" customHeight="1" x14ac:dyDescent="0.2">
      <c r="A194" s="8"/>
      <c r="B194" s="8"/>
      <c r="C194" s="11"/>
      <c r="G194" s="5"/>
      <c r="H194" s="5"/>
      <c r="I194" s="5"/>
      <c r="J194" s="5"/>
      <c r="K194" s="5"/>
    </row>
    <row r="195" spans="1:11" ht="24.75" customHeight="1" x14ac:dyDescent="0.2">
      <c r="A195" s="8"/>
      <c r="B195" s="8"/>
      <c r="C195" s="11"/>
      <c r="G195" s="5"/>
      <c r="H195" s="5"/>
      <c r="I195" s="5"/>
      <c r="J195" s="5"/>
      <c r="K195" s="5"/>
    </row>
    <row r="196" spans="1:11" ht="24.75" customHeight="1" x14ac:dyDescent="0.2">
      <c r="A196" s="8"/>
      <c r="B196" s="8"/>
      <c r="C196" s="11"/>
      <c r="E196" s="5"/>
      <c r="F196" s="5"/>
      <c r="K196" s="5"/>
    </row>
    <row r="197" spans="1:11" ht="24.75" customHeight="1" x14ac:dyDescent="0.2">
      <c r="A197" s="8"/>
      <c r="B197" s="8"/>
      <c r="C197" s="11"/>
      <c r="E197" s="5"/>
      <c r="F197" s="5"/>
      <c r="K197" s="5"/>
    </row>
    <row r="198" spans="1:11" ht="24.75" customHeight="1" x14ac:dyDescent="0.2">
      <c r="A198" s="8"/>
      <c r="B198" s="8"/>
      <c r="C198" s="11"/>
      <c r="H198" s="5"/>
      <c r="J198" s="5"/>
      <c r="K198" s="5"/>
    </row>
    <row r="199" spans="1:11" ht="24.75" customHeight="1" x14ac:dyDescent="0.2">
      <c r="A199" s="8"/>
      <c r="B199" s="8"/>
      <c r="C199" s="11"/>
      <c r="H199" s="5"/>
      <c r="J199" s="5"/>
      <c r="K199" s="5"/>
    </row>
    <row r="200" spans="1:11" ht="24.75" customHeight="1" x14ac:dyDescent="0.2">
      <c r="A200" s="8"/>
      <c r="B200" s="8"/>
      <c r="C200" s="10"/>
      <c r="H200" s="5"/>
      <c r="J200" s="5"/>
      <c r="K200" s="5"/>
    </row>
    <row r="201" spans="1:11" ht="24.75" customHeight="1" x14ac:dyDescent="0.2">
      <c r="A201" s="8"/>
      <c r="B201" s="8"/>
      <c r="C201" s="10"/>
      <c r="H201" s="5"/>
      <c r="J201" s="5"/>
      <c r="K201" s="5"/>
    </row>
    <row r="202" spans="1:11" ht="24.75" customHeight="1" x14ac:dyDescent="0.2">
      <c r="A202" s="8"/>
      <c r="B202" s="8"/>
      <c r="C202" s="13"/>
      <c r="H202" s="5"/>
      <c r="J202" s="5"/>
      <c r="K202" s="5"/>
    </row>
    <row r="203" spans="1:11" ht="24.75" customHeight="1" x14ac:dyDescent="0.2">
      <c r="A203" s="8"/>
      <c r="B203" s="8"/>
      <c r="C203" s="13"/>
      <c r="H203" s="5"/>
      <c r="J203" s="5"/>
      <c r="K203" s="5"/>
    </row>
    <row r="204" spans="1:11" ht="24.75" customHeight="1" x14ac:dyDescent="0.2">
      <c r="A204" s="8"/>
      <c r="B204" s="8"/>
      <c r="C204" s="10"/>
      <c r="H204" s="5"/>
      <c r="J204" s="5"/>
      <c r="K204" s="5"/>
    </row>
    <row r="205" spans="1:11" ht="24.75" customHeight="1" x14ac:dyDescent="0.2">
      <c r="A205" s="8"/>
      <c r="B205" s="8"/>
      <c r="C205" s="10"/>
      <c r="H205" s="5"/>
      <c r="J205" s="5"/>
      <c r="K205" s="5"/>
    </row>
    <row r="206" spans="1:11" ht="24.75" customHeight="1" x14ac:dyDescent="0.2">
      <c r="A206" s="8"/>
      <c r="B206" s="9"/>
      <c r="C206" s="12"/>
      <c r="G206" s="5"/>
      <c r="H206" s="5"/>
      <c r="I206" s="5"/>
      <c r="J206" s="5"/>
      <c r="K206" s="5"/>
    </row>
    <row r="207" spans="1:11" ht="24.75" customHeight="1" x14ac:dyDescent="0.2">
      <c r="A207" s="8"/>
      <c r="B207" s="8"/>
      <c r="C207" s="13"/>
      <c r="H207" s="5"/>
      <c r="J207" s="5"/>
      <c r="K207" s="5"/>
    </row>
    <row r="208" spans="1:11" ht="24.75" customHeight="1" x14ac:dyDescent="0.2">
      <c r="A208" s="8"/>
      <c r="B208" s="8"/>
      <c r="C208" s="11"/>
      <c r="E208" s="5"/>
      <c r="F208" s="5"/>
      <c r="K208" s="5"/>
    </row>
    <row r="209" spans="1:11" ht="24.75" customHeight="1" x14ac:dyDescent="0.2">
      <c r="A209" s="8"/>
      <c r="B209" s="8"/>
      <c r="C209" s="11"/>
      <c r="E209" s="5"/>
      <c r="F209" s="5"/>
      <c r="K209" s="5"/>
    </row>
    <row r="210" spans="1:11" ht="24.75" customHeight="1" x14ac:dyDescent="0.2">
      <c r="A210" s="8"/>
      <c r="B210" s="8"/>
      <c r="C210" s="11"/>
      <c r="E210" s="5"/>
      <c r="F210" s="5"/>
      <c r="K210" s="5"/>
    </row>
    <row r="211" spans="1:11" ht="24.75" customHeight="1" x14ac:dyDescent="0.2">
      <c r="A211" s="8"/>
      <c r="B211" s="8"/>
      <c r="C211" s="11"/>
      <c r="E211" s="5"/>
      <c r="F211" s="5"/>
      <c r="K211" s="5"/>
    </row>
    <row r="212" spans="1:11" ht="24.75" customHeight="1" x14ac:dyDescent="0.2">
      <c r="A212" s="8"/>
      <c r="B212" s="8"/>
      <c r="C212" s="11"/>
      <c r="G212" s="5"/>
      <c r="H212" s="5"/>
      <c r="I212" s="5"/>
      <c r="J212" s="5"/>
      <c r="K212" s="5"/>
    </row>
    <row r="213" spans="1:11" ht="24.75" customHeight="1" x14ac:dyDescent="0.2">
      <c r="A213" s="8"/>
      <c r="B213" s="8"/>
      <c r="C213" s="11"/>
      <c r="G213" s="5"/>
      <c r="H213" s="5"/>
      <c r="I213" s="5"/>
      <c r="J213" s="5"/>
      <c r="K213" s="5"/>
    </row>
    <row r="214" spans="1:11" ht="24.75" customHeight="1" x14ac:dyDescent="0.2">
      <c r="A214" s="8"/>
      <c r="B214" s="8"/>
      <c r="C214" s="11"/>
      <c r="E214" s="5"/>
      <c r="F214" s="5"/>
      <c r="K214" s="5"/>
    </row>
    <row r="215" spans="1:11" ht="24.75" customHeight="1" x14ac:dyDescent="0.2">
      <c r="A215" s="8"/>
      <c r="B215" s="8"/>
      <c r="C215" s="11"/>
      <c r="H215" s="5"/>
      <c r="J215" s="5"/>
      <c r="K215" s="5"/>
    </row>
    <row r="216" spans="1:11" ht="24.75" customHeight="1" x14ac:dyDescent="0.2">
      <c r="A216" s="8"/>
      <c r="B216" s="8"/>
      <c r="C216" s="11"/>
      <c r="H216" s="5"/>
      <c r="J216" s="5"/>
      <c r="K216" s="5"/>
    </row>
    <row r="217" spans="1:11" ht="24.75" customHeight="1" x14ac:dyDescent="0.2">
      <c r="A217" s="8"/>
      <c r="B217" s="8"/>
      <c r="C217" s="10"/>
      <c r="H217" s="5"/>
      <c r="J217" s="5"/>
      <c r="K217" s="5"/>
    </row>
    <row r="218" spans="1:11" ht="24.75" customHeight="1" x14ac:dyDescent="0.2">
      <c r="A218" s="8"/>
      <c r="B218" s="8"/>
      <c r="C218" s="10"/>
      <c r="H218" s="5"/>
      <c r="J218" s="5"/>
      <c r="K218" s="5"/>
    </row>
    <row r="219" spans="1:11" ht="30" customHeight="1" x14ac:dyDescent="0.2">
      <c r="A219" s="8"/>
      <c r="B219" s="8"/>
      <c r="C219" s="13"/>
      <c r="H219" s="5"/>
      <c r="J219" s="5"/>
      <c r="K219" s="5"/>
    </row>
    <row r="220" spans="1:11" ht="30" customHeight="1" x14ac:dyDescent="0.2">
      <c r="A220" s="8"/>
      <c r="B220" s="8"/>
      <c r="C220" s="13"/>
      <c r="H220" s="5"/>
      <c r="J220" s="5"/>
      <c r="K220" s="5"/>
    </row>
    <row r="221" spans="1:11" ht="30" customHeight="1" x14ac:dyDescent="0.2">
      <c r="A221" s="8"/>
      <c r="B221" s="8"/>
      <c r="C221" s="10"/>
      <c r="H221" s="5"/>
      <c r="J221" s="5"/>
      <c r="K221" s="5"/>
    </row>
    <row r="222" spans="1:11" ht="30" customHeight="1" x14ac:dyDescent="0.2">
      <c r="A222" s="8"/>
      <c r="B222" s="8"/>
      <c r="C222" s="10"/>
      <c r="H222" s="5"/>
      <c r="J222" s="5"/>
      <c r="K222" s="5"/>
    </row>
    <row r="223" spans="1:11" ht="30" customHeight="1" x14ac:dyDescent="0.2">
      <c r="A223" s="8"/>
      <c r="B223" s="8"/>
      <c r="C223" s="12"/>
      <c r="G223" s="5"/>
      <c r="H223" s="5"/>
      <c r="I223" s="5"/>
      <c r="J223" s="5"/>
      <c r="K223" s="5"/>
    </row>
    <row r="224" spans="1:11" ht="30" customHeight="1" x14ac:dyDescent="0.2">
      <c r="A224" s="8"/>
      <c r="B224" s="8"/>
      <c r="C224" s="13"/>
      <c r="H224" s="5"/>
      <c r="J224" s="5"/>
      <c r="K224" s="5"/>
    </row>
    <row r="225" spans="1:11" ht="30" customHeight="1" x14ac:dyDescent="0.2">
      <c r="A225" s="8"/>
      <c r="B225" s="8"/>
      <c r="C225" s="11"/>
      <c r="E225" s="5"/>
      <c r="F225" s="5"/>
      <c r="K225" s="5"/>
    </row>
    <row r="226" spans="1:11" ht="30" customHeight="1" x14ac:dyDescent="0.2">
      <c r="A226" s="8"/>
      <c r="B226" s="8"/>
      <c r="C226" s="11"/>
      <c r="E226" s="5"/>
      <c r="F226" s="5"/>
      <c r="K226" s="5"/>
    </row>
    <row r="227" spans="1:11" ht="30" customHeight="1" x14ac:dyDescent="0.2">
      <c r="A227" s="8"/>
      <c r="B227" s="8"/>
      <c r="C227" s="11"/>
      <c r="E227" s="5"/>
      <c r="F227" s="5"/>
      <c r="K227" s="5"/>
    </row>
    <row r="228" spans="1:11" ht="30" customHeight="1" x14ac:dyDescent="0.2">
      <c r="A228" s="8"/>
      <c r="B228" s="8"/>
      <c r="C228" s="11"/>
      <c r="E228" s="5"/>
      <c r="F228" s="5"/>
      <c r="K228" s="5"/>
    </row>
    <row r="229" spans="1:11" ht="30" customHeight="1" x14ac:dyDescent="0.2">
      <c r="A229" s="8"/>
      <c r="B229" s="8"/>
      <c r="C229" s="11"/>
      <c r="G229" s="5"/>
      <c r="H229" s="5"/>
      <c r="I229" s="5"/>
      <c r="J229" s="5"/>
      <c r="K229" s="5"/>
    </row>
    <row r="230" spans="1:11" ht="30" customHeight="1" x14ac:dyDescent="0.2">
      <c r="A230" s="8"/>
      <c r="B230" s="8"/>
      <c r="C230" s="11"/>
      <c r="G230" s="5"/>
      <c r="H230" s="5"/>
      <c r="I230" s="5"/>
      <c r="J230" s="5"/>
      <c r="K230" s="5"/>
    </row>
    <row r="231" spans="1:11" ht="30" customHeight="1" x14ac:dyDescent="0.2">
      <c r="A231" s="8"/>
      <c r="B231" s="8"/>
      <c r="C231" s="11"/>
      <c r="E231" s="5"/>
      <c r="F231" s="5"/>
      <c r="K231" s="5"/>
    </row>
    <row r="232" spans="1:11" ht="30" customHeight="1" x14ac:dyDescent="0.2">
      <c r="A232" s="8"/>
      <c r="B232" s="8"/>
      <c r="C232" s="11"/>
      <c r="E232" s="5"/>
      <c r="F232" s="5"/>
      <c r="K232" s="5"/>
    </row>
    <row r="233" spans="1:11" ht="30" customHeight="1" x14ac:dyDescent="0.2">
      <c r="A233" s="8"/>
      <c r="B233" s="8"/>
      <c r="C233" s="11"/>
      <c r="H233" s="5"/>
      <c r="J233" s="5"/>
      <c r="K233" s="5"/>
    </row>
    <row r="234" spans="1:11" ht="30" customHeight="1" x14ac:dyDescent="0.2">
      <c r="A234" s="8"/>
      <c r="B234" s="8"/>
      <c r="C234" s="11"/>
      <c r="H234" s="5"/>
      <c r="J234" s="5"/>
      <c r="K234" s="5"/>
    </row>
    <row r="235" spans="1:11" ht="30" customHeight="1" x14ac:dyDescent="0.2">
      <c r="A235" s="8"/>
      <c r="B235" s="8"/>
      <c r="C235" s="10"/>
      <c r="H235" s="5"/>
      <c r="J235" s="5"/>
      <c r="K235" s="5"/>
    </row>
    <row r="236" spans="1:11" ht="30" customHeight="1" x14ac:dyDescent="0.2">
      <c r="A236" s="8"/>
      <c r="B236" s="8"/>
      <c r="C236" s="10"/>
      <c r="H236" s="5"/>
      <c r="J236" s="5"/>
      <c r="K236" s="5"/>
    </row>
    <row r="237" spans="1:11" ht="30" customHeight="1" x14ac:dyDescent="0.2">
      <c r="A237" s="8"/>
      <c r="B237" s="8"/>
      <c r="C237" s="13"/>
      <c r="H237" s="5"/>
      <c r="J237" s="5"/>
      <c r="K237" s="5"/>
    </row>
    <row r="238" spans="1:11" ht="30" customHeight="1" x14ac:dyDescent="0.2">
      <c r="A238" s="8"/>
      <c r="B238" s="8"/>
      <c r="C238" s="13"/>
      <c r="H238" s="5"/>
      <c r="J238" s="5"/>
      <c r="K238" s="5"/>
    </row>
    <row r="239" spans="1:11" ht="30" customHeight="1" x14ac:dyDescent="0.2">
      <c r="A239" s="8"/>
      <c r="B239" s="8"/>
      <c r="C239" s="10"/>
      <c r="H239" s="5"/>
      <c r="J239" s="5"/>
      <c r="K239" s="5"/>
    </row>
    <row r="240" spans="1:11" ht="30" customHeight="1" x14ac:dyDescent="0.2">
      <c r="A240" s="8"/>
      <c r="B240" s="8"/>
      <c r="C240" s="10"/>
      <c r="H240" s="5"/>
      <c r="J240" s="5"/>
      <c r="K240" s="5"/>
    </row>
    <row r="241" spans="1:11" ht="30" customHeight="1" x14ac:dyDescent="0.2">
      <c r="A241" s="8"/>
      <c r="B241" s="8"/>
      <c r="C241" s="12"/>
      <c r="H241" s="5"/>
      <c r="J241" s="5"/>
      <c r="K241" s="5"/>
    </row>
    <row r="242" spans="1:11" ht="30" customHeight="1" x14ac:dyDescent="0.2">
      <c r="A242" s="8"/>
      <c r="B242" s="8"/>
      <c r="C242" s="13"/>
      <c r="H242" s="5"/>
      <c r="J242" s="5"/>
      <c r="K242" s="5"/>
    </row>
    <row r="243" spans="1:11" ht="30" customHeight="1" x14ac:dyDescent="0.2">
      <c r="A243" s="8"/>
      <c r="B243" s="8"/>
      <c r="C243" s="11"/>
      <c r="E243" s="5"/>
      <c r="F243" s="5"/>
      <c r="K243" s="5"/>
    </row>
    <row r="244" spans="1:11" ht="30" customHeight="1" x14ac:dyDescent="0.2">
      <c r="A244" s="8"/>
      <c r="B244" s="8"/>
      <c r="C244" s="11"/>
      <c r="E244" s="5"/>
      <c r="F244" s="5"/>
      <c r="K244" s="5"/>
    </row>
    <row r="245" spans="1:11" ht="30" customHeight="1" x14ac:dyDescent="0.2">
      <c r="A245" s="8"/>
      <c r="B245" s="8"/>
      <c r="C245" s="11"/>
      <c r="E245" s="5"/>
      <c r="F245" s="5"/>
      <c r="K245" s="5"/>
    </row>
    <row r="246" spans="1:11" ht="30" customHeight="1" x14ac:dyDescent="0.2">
      <c r="A246" s="8"/>
      <c r="B246" s="8"/>
      <c r="C246" s="11"/>
      <c r="E246" s="5"/>
      <c r="F246" s="5"/>
      <c r="K246" s="5"/>
    </row>
    <row r="247" spans="1:11" ht="30" customHeight="1" x14ac:dyDescent="0.2">
      <c r="A247" s="8"/>
      <c r="B247" s="8"/>
      <c r="C247" s="11"/>
      <c r="G247" s="5"/>
      <c r="H247" s="5"/>
      <c r="I247" s="5"/>
      <c r="J247" s="5"/>
      <c r="K247" s="5"/>
    </row>
    <row r="248" spans="1:11" ht="30" customHeight="1" x14ac:dyDescent="0.2">
      <c r="A248" s="8"/>
      <c r="B248" s="8"/>
      <c r="C248" s="11"/>
      <c r="E248" s="5"/>
      <c r="F248" s="5"/>
      <c r="K248" s="5"/>
    </row>
    <row r="249" spans="1:11" ht="30" customHeight="1" x14ac:dyDescent="0.2">
      <c r="A249" s="8"/>
      <c r="B249" s="8"/>
      <c r="C249" s="11"/>
      <c r="E249" s="5"/>
      <c r="F249" s="5"/>
      <c r="K249" s="5"/>
    </row>
    <row r="250" spans="1:11" ht="30" customHeight="1" x14ac:dyDescent="0.2">
      <c r="A250" s="8"/>
      <c r="B250" s="8"/>
      <c r="C250" s="11"/>
      <c r="H250" s="5"/>
      <c r="J250" s="5"/>
      <c r="K250" s="5"/>
    </row>
    <row r="251" spans="1:11" ht="30" customHeight="1" x14ac:dyDescent="0.2">
      <c r="A251" s="8"/>
      <c r="B251" s="8"/>
      <c r="C251" s="11"/>
      <c r="H251" s="5"/>
      <c r="J251" s="5"/>
      <c r="K251" s="5"/>
    </row>
    <row r="252" spans="1:11" ht="30" customHeight="1" x14ac:dyDescent="0.2">
      <c r="A252" s="8"/>
      <c r="B252" s="8"/>
      <c r="C252" s="10"/>
      <c r="H252" s="5"/>
      <c r="J252" s="5"/>
      <c r="K252" s="5"/>
    </row>
    <row r="253" spans="1:11" ht="30" customHeight="1" x14ac:dyDescent="0.2">
      <c r="A253" s="8"/>
      <c r="B253" s="8"/>
      <c r="C253" s="10"/>
      <c r="H253" s="5"/>
      <c r="J253" s="5"/>
      <c r="K253" s="5"/>
    </row>
    <row r="254" spans="1:11" ht="30" customHeight="1" x14ac:dyDescent="0.2">
      <c r="A254" s="8"/>
      <c r="B254" s="8"/>
      <c r="C254" s="13"/>
      <c r="H254" s="5"/>
      <c r="J254" s="5"/>
      <c r="K254" s="5"/>
    </row>
    <row r="255" spans="1:11" ht="30" customHeight="1" x14ac:dyDescent="0.2">
      <c r="A255" s="8"/>
      <c r="B255" s="8"/>
      <c r="C255" s="13"/>
      <c r="H255" s="5"/>
      <c r="J255" s="5"/>
      <c r="K255" s="5"/>
    </row>
    <row r="256" spans="1:11" ht="30" customHeight="1" x14ac:dyDescent="0.2">
      <c r="A256" s="8"/>
      <c r="B256" s="8"/>
      <c r="C256" s="10"/>
      <c r="H256" s="5"/>
      <c r="J256" s="5"/>
      <c r="K256" s="5"/>
    </row>
    <row r="257" spans="1:11" ht="30" customHeight="1" x14ac:dyDescent="0.2">
      <c r="A257" s="8"/>
      <c r="B257" s="8"/>
      <c r="C257" s="10"/>
      <c r="H257" s="5"/>
      <c r="J257" s="5"/>
      <c r="K257" s="5"/>
    </row>
    <row r="258" spans="1:11" ht="30" customHeight="1" x14ac:dyDescent="0.2">
      <c r="A258" s="8"/>
      <c r="B258" s="8"/>
      <c r="C258" s="12"/>
      <c r="H258" s="5"/>
      <c r="J258" s="5"/>
      <c r="K258" s="5"/>
    </row>
    <row r="259" spans="1:11" ht="30" customHeight="1" x14ac:dyDescent="0.2">
      <c r="A259" s="8"/>
      <c r="B259" s="8"/>
      <c r="C259" s="13"/>
      <c r="H259" s="5"/>
      <c r="J259" s="5"/>
      <c r="K259" s="5"/>
    </row>
    <row r="260" spans="1:11" ht="30" customHeight="1" x14ac:dyDescent="0.2">
      <c r="A260" s="8"/>
      <c r="B260" s="8"/>
      <c r="C260" s="11"/>
      <c r="E260" s="5"/>
      <c r="F260" s="5"/>
      <c r="K260" s="5"/>
    </row>
    <row r="261" spans="1:11" ht="30" customHeight="1" x14ac:dyDescent="0.2">
      <c r="A261" s="8"/>
      <c r="B261" s="8"/>
      <c r="C261" s="11"/>
      <c r="E261" s="5"/>
      <c r="F261" s="5"/>
      <c r="K261" s="5"/>
    </row>
    <row r="262" spans="1:11" ht="30" customHeight="1" x14ac:dyDescent="0.2">
      <c r="A262" s="8"/>
      <c r="B262" s="8"/>
      <c r="C262" s="11"/>
      <c r="E262" s="5"/>
      <c r="F262" s="5"/>
      <c r="K262" s="5"/>
    </row>
    <row r="263" spans="1:11" ht="30" customHeight="1" x14ac:dyDescent="0.2">
      <c r="A263" s="8"/>
      <c r="B263" s="8"/>
      <c r="C263" s="11"/>
      <c r="E263" s="5"/>
      <c r="F263" s="5"/>
      <c r="K263" s="5"/>
    </row>
    <row r="264" spans="1:11" ht="30" customHeight="1" x14ac:dyDescent="0.2">
      <c r="A264" s="8"/>
      <c r="B264" s="8"/>
      <c r="C264" s="11"/>
      <c r="G264" s="5"/>
      <c r="H264" s="5"/>
      <c r="I264" s="5"/>
      <c r="J264" s="5"/>
      <c r="K264" s="5"/>
    </row>
    <row r="265" spans="1:11" ht="30" customHeight="1" x14ac:dyDescent="0.2">
      <c r="A265" s="8"/>
      <c r="B265" s="8"/>
      <c r="C265" s="11"/>
      <c r="G265" s="5"/>
      <c r="H265" s="5"/>
      <c r="I265" s="5"/>
      <c r="J265" s="5"/>
      <c r="K265" s="5"/>
    </row>
    <row r="266" spans="1:11" ht="30" customHeight="1" x14ac:dyDescent="0.2">
      <c r="A266" s="8"/>
      <c r="B266" s="8"/>
      <c r="C266" s="11"/>
      <c r="E266" s="5"/>
      <c r="F266" s="5"/>
      <c r="K266" s="5"/>
    </row>
    <row r="267" spans="1:11" ht="30" customHeight="1" x14ac:dyDescent="0.2">
      <c r="A267" s="8"/>
      <c r="B267" s="8"/>
      <c r="C267" s="11"/>
      <c r="E267" s="5"/>
      <c r="F267" s="5"/>
      <c r="K267" s="5"/>
    </row>
    <row r="268" spans="1:11" ht="30" customHeight="1" x14ac:dyDescent="0.2">
      <c r="A268" s="8"/>
      <c r="B268" s="8"/>
      <c r="C268" s="11"/>
      <c r="H268" s="5"/>
      <c r="J268" s="5"/>
      <c r="K268" s="5"/>
    </row>
    <row r="269" spans="1:11" ht="30" customHeight="1" x14ac:dyDescent="0.2">
      <c r="A269" s="8"/>
      <c r="B269" s="8"/>
      <c r="C269" s="11"/>
      <c r="H269" s="5"/>
      <c r="J269" s="5"/>
      <c r="K269" s="5"/>
    </row>
    <row r="270" spans="1:11" ht="30" customHeight="1" x14ac:dyDescent="0.2">
      <c r="A270" s="8"/>
      <c r="B270" s="8"/>
      <c r="C270" s="11"/>
      <c r="H270" s="5"/>
      <c r="J270" s="5"/>
      <c r="K270" s="5"/>
    </row>
    <row r="271" spans="1:11" ht="30" customHeight="1" x14ac:dyDescent="0.2">
      <c r="A271" s="8"/>
      <c r="B271" s="8"/>
      <c r="C271" s="10"/>
      <c r="H271" s="5"/>
      <c r="J271" s="5"/>
      <c r="K271" s="5"/>
    </row>
    <row r="272" spans="1:11" ht="30" customHeight="1" x14ac:dyDescent="0.2">
      <c r="A272" s="8"/>
      <c r="B272" s="8"/>
      <c r="C272" s="10"/>
      <c r="H272" s="5"/>
      <c r="J272" s="5"/>
      <c r="K272" s="5"/>
    </row>
    <row r="273" spans="1:11" ht="30" customHeight="1" x14ac:dyDescent="0.2">
      <c r="A273" s="8"/>
      <c r="B273" s="8"/>
      <c r="C273" s="13"/>
      <c r="H273" s="5"/>
      <c r="J273" s="5"/>
      <c r="K273" s="5"/>
    </row>
    <row r="274" spans="1:11" ht="30" customHeight="1" x14ac:dyDescent="0.2">
      <c r="A274" s="8"/>
      <c r="B274" s="8"/>
      <c r="C274" s="13"/>
      <c r="H274" s="5"/>
      <c r="J274" s="5"/>
      <c r="K274" s="5"/>
    </row>
    <row r="275" spans="1:11" ht="30" customHeight="1" x14ac:dyDescent="0.2">
      <c r="A275" s="8"/>
      <c r="B275" s="8"/>
      <c r="C275" s="10"/>
      <c r="H275" s="5"/>
      <c r="J275" s="5"/>
      <c r="K275" s="5"/>
    </row>
    <row r="276" spans="1:11" ht="30" customHeight="1" x14ac:dyDescent="0.2">
      <c r="A276" s="8"/>
      <c r="B276" s="8"/>
      <c r="C276" s="10"/>
      <c r="H276" s="5"/>
      <c r="J276" s="5"/>
      <c r="K276" s="5"/>
    </row>
    <row r="277" spans="1:11" ht="30" customHeight="1" x14ac:dyDescent="0.2">
      <c r="A277" s="8"/>
      <c r="B277" s="8"/>
      <c r="C277" s="12"/>
      <c r="H277" s="5"/>
      <c r="J277" s="5"/>
      <c r="K277" s="5"/>
    </row>
    <row r="278" spans="1:11" ht="30" customHeight="1" x14ac:dyDescent="0.2">
      <c r="A278" s="8"/>
      <c r="B278" s="8"/>
      <c r="C278" s="12"/>
      <c r="H278" s="5"/>
      <c r="J278" s="5"/>
      <c r="K278" s="5"/>
    </row>
    <row r="279" spans="1:11" ht="30" customHeight="1" x14ac:dyDescent="0.2">
      <c r="A279" s="8"/>
      <c r="B279" s="8"/>
      <c r="C279" s="11"/>
      <c r="E279" s="5"/>
      <c r="F279" s="5"/>
      <c r="H279" s="5"/>
      <c r="J279" s="5"/>
      <c r="K279" s="5"/>
    </row>
    <row r="280" spans="1:11" ht="30" customHeight="1" x14ac:dyDescent="0.2">
      <c r="A280" s="8"/>
      <c r="B280" s="8"/>
      <c r="C280" s="11"/>
      <c r="E280" s="5"/>
      <c r="F280" s="5"/>
      <c r="H280" s="5"/>
      <c r="J280" s="5"/>
      <c r="K280" s="5"/>
    </row>
    <row r="281" spans="1:11" ht="30" customHeight="1" x14ac:dyDescent="0.2">
      <c r="A281" s="8"/>
      <c r="B281" s="8"/>
      <c r="C281" s="11"/>
      <c r="E281" s="5"/>
      <c r="F281" s="5"/>
      <c r="K281" s="5"/>
    </row>
    <row r="282" spans="1:11" ht="30" customHeight="1" x14ac:dyDescent="0.2">
      <c r="A282" s="8"/>
      <c r="B282" s="8"/>
      <c r="C282" s="11"/>
      <c r="E282" s="5"/>
      <c r="F282" s="5"/>
      <c r="K282" s="5"/>
    </row>
    <row r="283" spans="1:11" ht="30" customHeight="1" x14ac:dyDescent="0.2">
      <c r="A283" s="8"/>
      <c r="B283" s="8"/>
      <c r="C283" s="10"/>
      <c r="E283" s="5"/>
      <c r="F283" s="5"/>
      <c r="H283" s="5"/>
      <c r="J283" s="5"/>
      <c r="K283" s="5"/>
    </row>
    <row r="284" spans="1:11" ht="30" customHeight="1" x14ac:dyDescent="0.2">
      <c r="A284" s="8"/>
      <c r="B284" s="8"/>
      <c r="C284" s="10"/>
      <c r="E284" s="5"/>
      <c r="F284" s="5"/>
      <c r="H284" s="5"/>
      <c r="J284" s="5"/>
      <c r="K284" s="5"/>
    </row>
    <row r="285" spans="1:11" ht="30" customHeight="1" x14ac:dyDescent="0.2">
      <c r="A285" s="8"/>
      <c r="B285" s="8"/>
      <c r="C285" s="11"/>
      <c r="E285" s="5"/>
      <c r="F285" s="5"/>
      <c r="K285" s="5"/>
    </row>
    <row r="286" spans="1:11" ht="30" customHeight="1" x14ac:dyDescent="0.2">
      <c r="A286" s="8"/>
      <c r="B286" s="8"/>
      <c r="C286" s="11"/>
      <c r="H286" s="5"/>
      <c r="J286" s="5"/>
      <c r="K286" s="5"/>
    </row>
    <row r="287" spans="1:11" ht="30" customHeight="1" x14ac:dyDescent="0.2">
      <c r="A287" s="8"/>
      <c r="B287" s="8"/>
      <c r="C287" s="11"/>
      <c r="H287" s="5"/>
      <c r="J287" s="5"/>
      <c r="K287" s="5"/>
    </row>
    <row r="288" spans="1:11" ht="30" customHeight="1" x14ac:dyDescent="0.2">
      <c r="A288" s="8"/>
      <c r="B288" s="8"/>
      <c r="C288" s="11"/>
      <c r="H288" s="5"/>
      <c r="J288" s="5"/>
      <c r="K288" s="5"/>
    </row>
    <row r="289" spans="1:11" ht="30" customHeight="1" x14ac:dyDescent="0.2">
      <c r="A289" s="8"/>
      <c r="B289" s="8"/>
      <c r="C289" s="10"/>
      <c r="E289" s="5"/>
      <c r="F289" s="5"/>
      <c r="H289" s="5"/>
      <c r="J289" s="5"/>
      <c r="K289" s="5"/>
    </row>
    <row r="290" spans="1:11" ht="30" customHeight="1" x14ac:dyDescent="0.2">
      <c r="A290" s="8"/>
      <c r="B290" s="8"/>
      <c r="C290" s="10"/>
      <c r="H290" s="5"/>
      <c r="J290" s="5"/>
      <c r="K290" s="5"/>
    </row>
    <row r="291" spans="1:11" ht="30" customHeight="1" x14ac:dyDescent="0.2">
      <c r="A291" s="8"/>
      <c r="B291" s="8"/>
      <c r="C291" s="10"/>
      <c r="H291" s="5"/>
      <c r="J291" s="5"/>
      <c r="K291" s="5"/>
    </row>
    <row r="292" spans="1:11" ht="30" customHeight="1" x14ac:dyDescent="0.2">
      <c r="A292" s="8"/>
      <c r="B292" s="8"/>
      <c r="C292" s="10"/>
      <c r="H292" s="5"/>
      <c r="J292" s="5"/>
      <c r="K292" s="5"/>
    </row>
    <row r="293" spans="1:11" ht="30" customHeight="1" x14ac:dyDescent="0.2">
      <c r="A293" s="8"/>
      <c r="B293" s="8"/>
      <c r="C293" s="10"/>
      <c r="H293" s="5"/>
      <c r="J293" s="5"/>
      <c r="K293" s="5"/>
    </row>
    <row r="294" spans="1:11" ht="30" customHeight="1" x14ac:dyDescent="0.2">
      <c r="A294" s="8"/>
      <c r="B294" s="8"/>
      <c r="C294" s="10"/>
      <c r="H294" s="5"/>
      <c r="J294" s="5"/>
      <c r="K294" s="5"/>
    </row>
    <row r="295" spans="1:11" ht="30" customHeight="1" x14ac:dyDescent="0.2">
      <c r="A295" s="14"/>
      <c r="B295" s="6"/>
      <c r="C295" s="15"/>
      <c r="D295" s="32"/>
      <c r="E295" s="5"/>
      <c r="F295" s="5"/>
      <c r="G295" s="5"/>
      <c r="H295" s="5"/>
      <c r="I295" s="5"/>
      <c r="J295" s="5"/>
      <c r="K295" s="5"/>
    </row>
    <row r="296" spans="1:11" ht="30" customHeight="1" x14ac:dyDescent="0.2">
      <c r="D296" s="32"/>
    </row>
    <row r="297" spans="1:11" ht="30" customHeight="1" x14ac:dyDescent="0.2">
      <c r="A297" s="3"/>
      <c r="B297" s="3"/>
      <c r="C297" s="17"/>
      <c r="D297" s="33"/>
      <c r="E297" s="5"/>
      <c r="F297" s="5"/>
      <c r="G297" s="5"/>
      <c r="H297" s="5"/>
      <c r="I297" s="5"/>
      <c r="J297" s="5"/>
      <c r="K297" s="5"/>
    </row>
    <row r="298" spans="1:11" ht="30" customHeight="1" x14ac:dyDescent="0.2">
      <c r="A298" s="18"/>
      <c r="B298" s="19"/>
      <c r="C298" s="20"/>
      <c r="D298" s="34"/>
      <c r="E298" s="5"/>
      <c r="F298" s="5"/>
      <c r="G298" s="5"/>
      <c r="H298" s="5"/>
      <c r="I298" s="5"/>
      <c r="J298" s="5"/>
      <c r="K298" s="5"/>
    </row>
    <row r="299" spans="1:11" ht="30" customHeight="1" x14ac:dyDescent="0.2">
      <c r="D299" s="32"/>
      <c r="E299" s="5"/>
      <c r="F299" s="5"/>
      <c r="G299" s="5"/>
      <c r="H299" s="5"/>
      <c r="I299" s="5"/>
      <c r="J299" s="5"/>
      <c r="K299" s="5"/>
    </row>
    <row r="300" spans="1:11" ht="30" customHeight="1" x14ac:dyDescent="0.2">
      <c r="D300" s="32"/>
    </row>
    <row r="301" spans="1:11" ht="30" customHeight="1" x14ac:dyDescent="0.2">
      <c r="A301" s="3"/>
      <c r="B301" s="3"/>
      <c r="C301" s="17"/>
      <c r="D301" s="33"/>
      <c r="E301" s="21"/>
      <c r="F301" s="21"/>
    </row>
    <row r="302" spans="1:11" ht="30" customHeight="1" x14ac:dyDescent="0.2">
      <c r="A302" s="19"/>
      <c r="B302" s="19"/>
      <c r="C302" s="20"/>
      <c r="D302" s="34"/>
      <c r="E302" s="22"/>
      <c r="F302" s="22"/>
      <c r="G302" s="5"/>
      <c r="H302" s="5"/>
      <c r="I302" s="5"/>
      <c r="J302" s="5"/>
      <c r="K302" s="5"/>
    </row>
    <row r="303" spans="1:11" ht="30" customHeight="1" x14ac:dyDescent="0.2">
      <c r="A303" s="19"/>
      <c r="B303" s="19"/>
      <c r="C303" s="20"/>
      <c r="D303" s="34"/>
      <c r="E303" s="22"/>
      <c r="F303" s="22"/>
      <c r="G303" s="5"/>
      <c r="H303" s="5"/>
      <c r="I303" s="5"/>
      <c r="J303" s="5"/>
      <c r="K303" s="5"/>
    </row>
    <row r="304" spans="1:11" ht="30" customHeight="1" x14ac:dyDescent="0.2">
      <c r="A304" s="19"/>
      <c r="B304" s="19"/>
      <c r="C304" s="20"/>
      <c r="D304" s="34"/>
      <c r="E304" s="22"/>
      <c r="F304" s="22"/>
      <c r="G304" s="5"/>
      <c r="H304" s="5"/>
      <c r="I304" s="5"/>
      <c r="J304" s="5"/>
      <c r="K304" s="5"/>
    </row>
    <row r="305" spans="1:11" ht="30" customHeight="1" x14ac:dyDescent="0.2">
      <c r="A305" s="19"/>
      <c r="B305" s="19"/>
      <c r="C305" s="20"/>
      <c r="D305" s="34"/>
      <c r="E305" s="22"/>
      <c r="F305" s="22"/>
      <c r="G305" s="5"/>
      <c r="H305" s="5"/>
      <c r="I305" s="5"/>
      <c r="J305" s="5"/>
      <c r="K305" s="5"/>
    </row>
    <row r="306" spans="1:11" ht="30" customHeight="1" x14ac:dyDescent="0.2">
      <c r="A306" s="19"/>
      <c r="B306" s="19"/>
      <c r="C306" s="20"/>
      <c r="D306" s="34"/>
      <c r="E306" s="22"/>
      <c r="F306" s="22"/>
      <c r="G306" s="5"/>
      <c r="H306" s="5"/>
      <c r="I306" s="5"/>
      <c r="J306" s="5"/>
      <c r="K306" s="5"/>
    </row>
    <row r="307" spans="1:11" ht="30" customHeight="1" x14ac:dyDescent="0.2">
      <c r="A307" s="19"/>
      <c r="B307" s="19"/>
      <c r="C307" s="20"/>
      <c r="D307" s="34"/>
      <c r="E307" s="22"/>
      <c r="F307" s="22"/>
      <c r="G307" s="5"/>
      <c r="H307" s="5"/>
      <c r="I307" s="5"/>
      <c r="J307" s="5"/>
      <c r="K307" s="5"/>
    </row>
    <row r="308" spans="1:11" ht="30" customHeight="1" x14ac:dyDescent="0.2">
      <c r="A308" s="19"/>
      <c r="B308" s="19"/>
      <c r="C308" s="20"/>
      <c r="D308" s="34"/>
      <c r="E308" s="22"/>
      <c r="F308" s="22"/>
      <c r="G308" s="5"/>
      <c r="H308" s="5"/>
      <c r="I308" s="5"/>
      <c r="J308" s="5"/>
      <c r="K308" s="5"/>
    </row>
    <row r="309" spans="1:11" ht="30" customHeight="1" x14ac:dyDescent="0.2">
      <c r="A309" s="19"/>
      <c r="B309" s="19"/>
      <c r="C309" s="20"/>
      <c r="D309" s="34"/>
      <c r="E309" s="22"/>
      <c r="F309" s="22"/>
      <c r="G309" s="5"/>
      <c r="H309" s="5"/>
      <c r="I309" s="5"/>
      <c r="J309" s="5"/>
      <c r="K309" s="5"/>
    </row>
    <row r="310" spans="1:11" ht="30" customHeight="1" x14ac:dyDescent="0.2">
      <c r="A310" s="23"/>
      <c r="B310" s="23"/>
      <c r="C310" s="20"/>
      <c r="D310" s="34"/>
      <c r="E310" s="22"/>
      <c r="F310" s="22"/>
      <c r="G310" s="5"/>
      <c r="H310" s="5"/>
      <c r="I310" s="5"/>
      <c r="J310" s="5"/>
      <c r="K310" s="5"/>
    </row>
    <row r="311" spans="1:11" ht="30" customHeight="1" x14ac:dyDescent="0.2">
      <c r="A311" s="23"/>
      <c r="B311" s="23"/>
      <c r="C311" s="20"/>
      <c r="D311" s="34"/>
      <c r="E311" s="22"/>
      <c r="F311" s="22"/>
      <c r="G311" s="5"/>
      <c r="H311" s="22"/>
      <c r="I311" s="5"/>
      <c r="J311" s="22"/>
      <c r="K311" s="5"/>
    </row>
    <row r="312" spans="1:11" ht="30" customHeight="1" x14ac:dyDescent="0.2">
      <c r="A312" s="3"/>
      <c r="B312" s="24"/>
      <c r="C312" s="25"/>
      <c r="D312" s="32"/>
      <c r="E312" s="21"/>
      <c r="F312" s="21"/>
      <c r="G312" s="21"/>
      <c r="H312" s="26"/>
      <c r="I312" s="21"/>
      <c r="J312" s="26"/>
      <c r="K312" s="26"/>
    </row>
    <row r="313" spans="1:11" ht="30" customHeight="1" x14ac:dyDescent="0.2">
      <c r="A313" s="27"/>
      <c r="D313" s="32"/>
      <c r="E313" s="28"/>
      <c r="F313" s="28"/>
    </row>
    <row r="314" spans="1:11" ht="30" customHeight="1" x14ac:dyDescent="0.2">
      <c r="D314" s="32"/>
    </row>
    <row r="315" spans="1:11" ht="30" customHeight="1" x14ac:dyDescent="0.2">
      <c r="D315" s="32"/>
    </row>
    <row r="316" spans="1:11" ht="30" customHeight="1" x14ac:dyDescent="0.2">
      <c r="D316" s="32"/>
    </row>
    <row r="317" spans="1:11" ht="30" customHeight="1" x14ac:dyDescent="0.2">
      <c r="D317" s="32"/>
    </row>
    <row r="318" spans="1:11" ht="30" customHeight="1" x14ac:dyDescent="0.2">
      <c r="C318" s="2"/>
    </row>
    <row r="319" spans="1:11" ht="30" customHeight="1" x14ac:dyDescent="0.2">
      <c r="C319" s="2"/>
    </row>
    <row r="320" spans="1:11" ht="30" customHeight="1" x14ac:dyDescent="0.2">
      <c r="C320" s="2"/>
    </row>
    <row r="321" spans="3:3" ht="30" customHeight="1" x14ac:dyDescent="0.2">
      <c r="C321" s="2"/>
    </row>
    <row r="322" spans="3:3" ht="30" customHeight="1" x14ac:dyDescent="0.2">
      <c r="C322" s="2"/>
    </row>
    <row r="323" spans="3:3" ht="30" customHeight="1" x14ac:dyDescent="0.2">
      <c r="C323" s="2"/>
    </row>
    <row r="324" spans="3:3" ht="30" customHeight="1" x14ac:dyDescent="0.2">
      <c r="C324" s="2"/>
    </row>
    <row r="325" spans="3:3" ht="30" customHeight="1" x14ac:dyDescent="0.2">
      <c r="C325" s="2"/>
    </row>
    <row r="326" spans="3:3" ht="30" customHeight="1" x14ac:dyDescent="0.2">
      <c r="C326" s="2"/>
    </row>
    <row r="327" spans="3:3" ht="30" customHeight="1" x14ac:dyDescent="0.2">
      <c r="C327" s="2"/>
    </row>
    <row r="328" spans="3:3" ht="30" customHeight="1" x14ac:dyDescent="0.2">
      <c r="C328" s="2"/>
    </row>
    <row r="329" spans="3:3" ht="30" customHeight="1" x14ac:dyDescent="0.2">
      <c r="C329" s="2"/>
    </row>
    <row r="330" spans="3:3" ht="30" customHeight="1" x14ac:dyDescent="0.2">
      <c r="C330" s="2"/>
    </row>
    <row r="331" spans="3:3" ht="30" customHeight="1" x14ac:dyDescent="0.2">
      <c r="C331" s="2"/>
    </row>
    <row r="332" spans="3:3" ht="30" customHeight="1" x14ac:dyDescent="0.2">
      <c r="C332" s="2"/>
    </row>
    <row r="333" spans="3:3" ht="30" customHeight="1" x14ac:dyDescent="0.2">
      <c r="C333" s="2"/>
    </row>
    <row r="334" spans="3:3" ht="30" customHeight="1" x14ac:dyDescent="0.2">
      <c r="C334" s="2"/>
    </row>
    <row r="335" spans="3:3" ht="30" customHeight="1" x14ac:dyDescent="0.2">
      <c r="C335" s="2"/>
    </row>
    <row r="336" spans="3:3" ht="30" customHeight="1" x14ac:dyDescent="0.2">
      <c r="C336" s="2"/>
    </row>
    <row r="337" spans="3:3" ht="30" customHeight="1" x14ac:dyDescent="0.2">
      <c r="C337" s="2"/>
    </row>
    <row r="338" spans="3:3" ht="30" customHeight="1" x14ac:dyDescent="0.2">
      <c r="C338" s="2"/>
    </row>
    <row r="339" spans="3:3" ht="30" customHeight="1" x14ac:dyDescent="0.2">
      <c r="C339" s="2"/>
    </row>
    <row r="340" spans="3:3" ht="30" customHeight="1" x14ac:dyDescent="0.2">
      <c r="C340" s="2"/>
    </row>
    <row r="341" spans="3:3" ht="30" customHeight="1" x14ac:dyDescent="0.2">
      <c r="C341" s="2"/>
    </row>
    <row r="342" spans="3:3" ht="30" customHeight="1" x14ac:dyDescent="0.2">
      <c r="C342" s="2"/>
    </row>
    <row r="343" spans="3:3" ht="30" customHeight="1" x14ac:dyDescent="0.2">
      <c r="C343" s="2"/>
    </row>
    <row r="344" spans="3:3" ht="30" customHeight="1" x14ac:dyDescent="0.2">
      <c r="C344" s="2"/>
    </row>
    <row r="345" spans="3:3" ht="30" customHeight="1" x14ac:dyDescent="0.2">
      <c r="C345" s="2"/>
    </row>
    <row r="346" spans="3:3" ht="30" customHeight="1" x14ac:dyDescent="0.2">
      <c r="C346" s="2"/>
    </row>
    <row r="347" spans="3:3" ht="30" customHeight="1" x14ac:dyDescent="0.2">
      <c r="C347" s="2"/>
    </row>
    <row r="348" spans="3:3" ht="30" customHeight="1" x14ac:dyDescent="0.2">
      <c r="C348" s="2"/>
    </row>
    <row r="349" spans="3:3" ht="30" customHeight="1" x14ac:dyDescent="0.2">
      <c r="C349" s="2"/>
    </row>
    <row r="350" spans="3:3" ht="30" customHeight="1" x14ac:dyDescent="0.2">
      <c r="C350" s="2"/>
    </row>
    <row r="351" spans="3:3" ht="30" customHeight="1" x14ac:dyDescent="0.2">
      <c r="C351" s="2"/>
    </row>
    <row r="352" spans="3:3" ht="30" customHeight="1" x14ac:dyDescent="0.2">
      <c r="C352" s="2"/>
    </row>
    <row r="353" spans="3:3" ht="30" customHeight="1" x14ac:dyDescent="0.2">
      <c r="C353" s="2"/>
    </row>
    <row r="354" spans="3:3" ht="30" customHeight="1" x14ac:dyDescent="0.2">
      <c r="C354" s="2"/>
    </row>
    <row r="355" spans="3:3" ht="30" customHeight="1" x14ac:dyDescent="0.2">
      <c r="C355" s="2"/>
    </row>
    <row r="356" spans="3:3" ht="30" customHeight="1" x14ac:dyDescent="0.2">
      <c r="C356" s="2"/>
    </row>
    <row r="357" spans="3:3" ht="30" customHeight="1" x14ac:dyDescent="0.2">
      <c r="C357" s="2"/>
    </row>
    <row r="358" spans="3:3" ht="30" customHeight="1" x14ac:dyDescent="0.2">
      <c r="C358" s="2"/>
    </row>
    <row r="359" spans="3:3" ht="30" customHeight="1" x14ac:dyDescent="0.2">
      <c r="C359" s="2"/>
    </row>
    <row r="360" spans="3:3" ht="30" customHeight="1" x14ac:dyDescent="0.2">
      <c r="C360" s="2"/>
    </row>
    <row r="361" spans="3:3" ht="30" customHeight="1" x14ac:dyDescent="0.2">
      <c r="C361" s="2"/>
    </row>
    <row r="362" spans="3:3" ht="30" customHeight="1" x14ac:dyDescent="0.2">
      <c r="C362" s="2"/>
    </row>
    <row r="363" spans="3:3" ht="30" customHeight="1" x14ac:dyDescent="0.2">
      <c r="C363" s="2"/>
    </row>
    <row r="364" spans="3:3" ht="30" customHeight="1" x14ac:dyDescent="0.2">
      <c r="C364" s="2"/>
    </row>
    <row r="365" spans="3:3" ht="30" customHeight="1" x14ac:dyDescent="0.2">
      <c r="C365" s="2"/>
    </row>
    <row r="366" spans="3:3" ht="30" customHeight="1" x14ac:dyDescent="0.2">
      <c r="C366" s="2"/>
    </row>
    <row r="367" spans="3:3" ht="30" customHeight="1" x14ac:dyDescent="0.2">
      <c r="C367" s="2"/>
    </row>
    <row r="368" spans="3:3" ht="30" customHeight="1" x14ac:dyDescent="0.2">
      <c r="C368" s="2"/>
    </row>
    <row r="369" spans="3:3" ht="30" customHeight="1" x14ac:dyDescent="0.2">
      <c r="C369" s="2"/>
    </row>
    <row r="370" spans="3:3" ht="30" customHeight="1" x14ac:dyDescent="0.2">
      <c r="C370" s="2"/>
    </row>
    <row r="371" spans="3:3" ht="30" customHeight="1" x14ac:dyDescent="0.2">
      <c r="C371" s="2"/>
    </row>
    <row r="372" spans="3:3" ht="30" customHeight="1" x14ac:dyDescent="0.2">
      <c r="C372" s="2"/>
    </row>
    <row r="373" spans="3:3" ht="30" customHeight="1" x14ac:dyDescent="0.2">
      <c r="C373" s="2"/>
    </row>
    <row r="374" spans="3:3" ht="30" customHeight="1" x14ac:dyDescent="0.2">
      <c r="C374" s="2"/>
    </row>
    <row r="375" spans="3:3" ht="30" customHeight="1" x14ac:dyDescent="0.2">
      <c r="C375" s="2"/>
    </row>
    <row r="376" spans="3:3" ht="30" customHeight="1" x14ac:dyDescent="0.2">
      <c r="C376" s="2"/>
    </row>
    <row r="377" spans="3:3" ht="30" customHeight="1" x14ac:dyDescent="0.2">
      <c r="C377" s="2"/>
    </row>
    <row r="378" spans="3:3" ht="30" customHeight="1" x14ac:dyDescent="0.2">
      <c r="C378" s="2"/>
    </row>
    <row r="379" spans="3:3" ht="30" customHeight="1" x14ac:dyDescent="0.2">
      <c r="C379" s="2"/>
    </row>
    <row r="380" spans="3:3" ht="30" customHeight="1" x14ac:dyDescent="0.2">
      <c r="C380" s="2"/>
    </row>
    <row r="381" spans="3:3" ht="30" customHeight="1" x14ac:dyDescent="0.2">
      <c r="C381" s="2"/>
    </row>
    <row r="382" spans="3:3" ht="30" customHeight="1" x14ac:dyDescent="0.2">
      <c r="C382" s="2"/>
    </row>
    <row r="383" spans="3:3" ht="30" customHeight="1" x14ac:dyDescent="0.2">
      <c r="C383" s="2"/>
    </row>
    <row r="384" spans="3:3" ht="30" customHeight="1" x14ac:dyDescent="0.2">
      <c r="C384" s="2"/>
    </row>
    <row r="385" spans="3:3" ht="30" customHeight="1" x14ac:dyDescent="0.2">
      <c r="C385" s="2"/>
    </row>
    <row r="386" spans="3:3" ht="30" customHeight="1" x14ac:dyDescent="0.2">
      <c r="C386" s="2"/>
    </row>
    <row r="387" spans="3:3" ht="30" customHeight="1" x14ac:dyDescent="0.2">
      <c r="C387" s="2"/>
    </row>
    <row r="388" spans="3:3" ht="30" customHeight="1" x14ac:dyDescent="0.2">
      <c r="C388" s="2"/>
    </row>
    <row r="389" spans="3:3" ht="30" customHeight="1" x14ac:dyDescent="0.2">
      <c r="C389" s="2"/>
    </row>
    <row r="390" spans="3:3" ht="30" customHeight="1" x14ac:dyDescent="0.2">
      <c r="C390" s="2"/>
    </row>
    <row r="391" spans="3:3" ht="30" customHeight="1" x14ac:dyDescent="0.2">
      <c r="C391" s="2"/>
    </row>
    <row r="392" spans="3:3" ht="30" customHeight="1" x14ac:dyDescent="0.2">
      <c r="C392" s="2"/>
    </row>
    <row r="393" spans="3:3" ht="30" customHeight="1" x14ac:dyDescent="0.2">
      <c r="C393" s="2"/>
    </row>
    <row r="394" spans="3:3" ht="30" customHeight="1" x14ac:dyDescent="0.2">
      <c r="C394" s="2"/>
    </row>
    <row r="395" spans="3:3" ht="30" customHeight="1" x14ac:dyDescent="0.2">
      <c r="C395" s="2"/>
    </row>
    <row r="396" spans="3:3" ht="30" customHeight="1" x14ac:dyDescent="0.2">
      <c r="C396" s="2"/>
    </row>
    <row r="397" spans="3:3" ht="30" customHeight="1" x14ac:dyDescent="0.2">
      <c r="C397" s="2"/>
    </row>
    <row r="398" spans="3:3" ht="30" customHeight="1" x14ac:dyDescent="0.2">
      <c r="C398" s="2"/>
    </row>
    <row r="399" spans="3:3" ht="30" customHeight="1" x14ac:dyDescent="0.2">
      <c r="C399" s="2"/>
    </row>
    <row r="400" spans="3:3" ht="30" customHeight="1" x14ac:dyDescent="0.2">
      <c r="C400" s="2"/>
    </row>
    <row r="401" spans="3:3" ht="30" customHeight="1" x14ac:dyDescent="0.2">
      <c r="C401" s="2"/>
    </row>
    <row r="402" spans="3:3" ht="30" customHeight="1" x14ac:dyDescent="0.2">
      <c r="C402" s="2"/>
    </row>
    <row r="403" spans="3:3" ht="30" customHeight="1" x14ac:dyDescent="0.2">
      <c r="C403" s="2"/>
    </row>
    <row r="404" spans="3:3" ht="30" customHeight="1" x14ac:dyDescent="0.2">
      <c r="C404" s="2"/>
    </row>
    <row r="405" spans="3:3" ht="30" customHeight="1" x14ac:dyDescent="0.2">
      <c r="C405" s="2"/>
    </row>
    <row r="406" spans="3:3" ht="30" customHeight="1" x14ac:dyDescent="0.2">
      <c r="C406" s="2"/>
    </row>
    <row r="407" spans="3:3" ht="30" customHeight="1" x14ac:dyDescent="0.2">
      <c r="C407" s="2"/>
    </row>
  </sheetData>
  <mergeCells count="27">
    <mergeCell ref="N34:W34"/>
    <mergeCell ref="N38:W38"/>
    <mergeCell ref="N9:W9"/>
    <mergeCell ref="B39:K39"/>
    <mergeCell ref="M7:M8"/>
    <mergeCell ref="N7:N8"/>
    <mergeCell ref="O7:O8"/>
    <mergeCell ref="P7:P8"/>
    <mergeCell ref="Q7:W7"/>
    <mergeCell ref="A1:W1"/>
    <mergeCell ref="A2:W2"/>
    <mergeCell ref="A3:W3"/>
    <mergeCell ref="A4:W4"/>
    <mergeCell ref="A5:W5"/>
    <mergeCell ref="A53:C53"/>
    <mergeCell ref="D7:D8"/>
    <mergeCell ref="A7:A8"/>
    <mergeCell ref="B7:B8"/>
    <mergeCell ref="C7:C8"/>
    <mergeCell ref="B30:K30"/>
    <mergeCell ref="B48:K48"/>
    <mergeCell ref="B44:K44"/>
    <mergeCell ref="E7:K7"/>
    <mergeCell ref="A6:K6"/>
    <mergeCell ref="B9:K9"/>
    <mergeCell ref="B22:K22"/>
    <mergeCell ref="B23:K23"/>
  </mergeCells>
  <phoneticPr fontId="1" type="noConversion"/>
  <printOptions horizontalCentered="1"/>
  <pageMargins left="1" right="0.35433070866141703" top="0.55118110236220497" bottom="0.59055118110236204" header="0.31496062992126" footer="0.23622047244094499"/>
  <pageSetup paperSize="8" scale="61" orientation="landscape" r:id="rId1"/>
  <headerFooter>
    <oddFooter>&amp;C&amp;Z&amp;F&amp;R&amp;8&amp;P/&amp;N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KENH NGANG 3</vt:lpstr>
      <vt:lpstr>'KENH NGANG 3'!Print_Area</vt:lpstr>
      <vt:lpstr>'KENH NGANG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Dang Thi Ai</dc:creator>
  <cp:lastModifiedBy>minh dtx</cp:lastModifiedBy>
  <cp:lastPrinted>2018-06-25T02:17:07Z</cp:lastPrinted>
  <dcterms:created xsi:type="dcterms:W3CDTF">2012-05-25T08:14:44Z</dcterms:created>
  <dcterms:modified xsi:type="dcterms:W3CDTF">2026-10-06T03:33:53Z</dcterms:modified>
</cp:coreProperties>
</file>
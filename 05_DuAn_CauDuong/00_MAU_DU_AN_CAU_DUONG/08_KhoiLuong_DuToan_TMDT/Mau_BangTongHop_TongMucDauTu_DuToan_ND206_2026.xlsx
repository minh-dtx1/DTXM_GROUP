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ongHop_TMDT_DuToan_ND2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003366"/>
      <sz val="11"/>
    </font>
    <font>
      <name val="Times New Roman"/>
      <b val="1"/>
      <sz val="11"/>
    </font>
    <font>
      <name val="Times New Roman"/>
      <sz val="11"/>
    </font>
    <font>
      <name val="Times New Roman"/>
      <b val="1"/>
      <color rgb="000000CC"/>
      <sz val="11"/>
    </font>
    <font>
      <name val="Times New Roman"/>
      <b val="1"/>
      <color rgb="00990000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3" fontId="6" fillId="4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16" customWidth="1" min="4" max="4"/>
    <col width="18" customWidth="1" min="5" max="5"/>
    <col width="28" customWidth="1" min="6" max="6"/>
  </cols>
  <sheetData>
    <row r="1">
      <c r="A1" s="1" t="inlineStr">
        <is>
          <t>BẢNG TỔNG HỢP TỔNG MỨC ĐẦU TƯ / DỰ TOÁN XÂY DỰNG CÔNG TRÌNH (THEO NGHỊ ĐỊNH 206/2026/NĐ-CP &amp; TT 37/2026/TT-BXD)</t>
        </is>
      </c>
    </row>
    <row r="3">
      <c r="A3" s="2" t="inlineStr">
        <is>
          <t>TT</t>
        </is>
      </c>
      <c r="B3" s="2" t="inlineStr">
        <is>
          <t>Khoản mục chi phí trong Tổng mức đầu tư / Dự toán</t>
        </is>
      </c>
      <c r="C3" s="2" t="inlineStr">
        <is>
          <t>Giá trị trước thuế (VNĐ)</t>
        </is>
      </c>
      <c r="D3" s="2" t="inlineStr">
        <is>
          <t>Thuế GTGT 8%/10% (VNĐ)</t>
        </is>
      </c>
      <c r="E3" s="2" t="inlineStr">
        <is>
          <t>Giá trị sau thuế (VNĐ)</t>
        </is>
      </c>
      <c r="F3" s="2" t="inlineStr">
        <is>
          <t>Ký hiệu &amp; Căn cứ tính toán</t>
        </is>
      </c>
    </row>
    <row r="4">
      <c r="A4" s="3" t="inlineStr">
        <is>
          <t>I</t>
        </is>
      </c>
      <c r="B4" s="4" t="inlineStr">
        <is>
          <t>Chi phí bồi thường, hỗ trợ và tái định cư (G_BT,TĐC)</t>
        </is>
      </c>
      <c r="C4" s="5" t="n">
        <v>15000000000</v>
      </c>
      <c r="D4" s="6" t="n">
        <v>0</v>
      </c>
      <c r="E4" s="6">
        <f>C4+D4</f>
        <v/>
      </c>
      <c r="F4" s="7" t="inlineStr">
        <is>
          <t>Theo phương án GPMB địa phương</t>
        </is>
      </c>
    </row>
    <row r="5">
      <c r="A5" s="3" t="inlineStr">
        <is>
          <t>II</t>
        </is>
      </c>
      <c r="B5" s="4" t="inlineStr">
        <is>
          <t>Chi phí xây dựng (G_XD = Phần Đường + Phần Cầu + Thoát nước + ATGT)</t>
        </is>
      </c>
      <c r="C5" s="5" t="n">
        <v>85000000000</v>
      </c>
      <c r="D5" s="6">
        <f>ROUND(C5*0.08,0)</f>
        <v/>
      </c>
      <c r="E5" s="6">
        <f>C5+D5</f>
        <v/>
      </c>
      <c r="F5" s="7" t="inlineStr">
        <is>
          <t>Tính theo Định mức TT 38/2026/TT-BXD</t>
        </is>
      </c>
    </row>
    <row r="6">
      <c r="A6" s="3" t="inlineStr">
        <is>
          <t>III</t>
        </is>
      </c>
      <c r="B6" s="4" t="inlineStr">
        <is>
          <t>Chi phí thiết bị (G_TB - nếu có)</t>
        </is>
      </c>
      <c r="C6" s="5" t="n">
        <v>1200000000</v>
      </c>
      <c r="D6" s="6">
        <f>ROUND(C6*0.08,0)</f>
        <v/>
      </c>
      <c r="E6" s="6">
        <f>C6+D6</f>
        <v/>
      </c>
      <c r="F6" s="7" t="inlineStr">
        <is>
          <t>Thiết bị chiếu sáng / ITS</t>
        </is>
      </c>
    </row>
    <row r="7">
      <c r="A7" s="3" t="inlineStr">
        <is>
          <t>IV</t>
        </is>
      </c>
      <c r="B7" s="4" t="inlineStr">
        <is>
          <t>Chi phí quản lý dự án (G_QLDA)</t>
        </is>
      </c>
      <c r="C7" s="6">
        <f>ROUND((C5+C6)*0.0215,0)</f>
        <v/>
      </c>
      <c r="D7" s="6" t="n">
        <v>0</v>
      </c>
      <c r="E7" s="6">
        <f>C7+D7</f>
        <v/>
      </c>
      <c r="F7" s="7" t="inlineStr">
        <is>
          <t>Nội suy định mức theo TT 37/2026/TT-BXD</t>
        </is>
      </c>
    </row>
    <row r="8">
      <c r="A8" s="3" t="inlineStr">
        <is>
          <t>V</t>
        </is>
      </c>
      <c r="B8" s="4" t="inlineStr">
        <is>
          <t>Chi phí tư vấn đầu tư xây dựng (G_TV: KS, BCNCKT, TKBVTC, Thẩm tra, Giám sát...)</t>
        </is>
      </c>
      <c r="C8" s="6">
        <f>ROUND((C5+C6)*0.052,0)</f>
        <v/>
      </c>
      <c r="D8" s="6">
        <f>ROUND(C8*0.08,0)</f>
        <v/>
      </c>
      <c r="E8" s="6">
        <f>C8+D8</f>
        <v/>
      </c>
      <c r="F8" s="7" t="inlineStr">
        <is>
          <t>Theo định mức tỷ lệ TT 37/2026/TT-BXD</t>
        </is>
      </c>
    </row>
    <row r="9">
      <c r="A9" s="3" t="inlineStr">
        <is>
          <t>VI</t>
        </is>
      </c>
      <c r="B9" s="4" t="inlineStr">
        <is>
          <t>Chi phí khác (G_K: Phí thẩm định, rà phá bom mìn, bảo hiểm, kiểm toán...)</t>
        </is>
      </c>
      <c r="C9" s="6">
        <f>ROUND((C5+C6)*0.025,0)</f>
        <v/>
      </c>
      <c r="D9" s="6">
        <f>ROUND(C9*0.08,0)</f>
        <v/>
      </c>
      <c r="E9" s="6">
        <f>C9+D9</f>
        <v/>
      </c>
      <c r="F9" s="7" t="inlineStr">
        <is>
          <t>Theo quy định Bộ Tài chính &amp; NĐ 206/2026</t>
        </is>
      </c>
    </row>
    <row r="10">
      <c r="A10" s="3" t="inlineStr">
        <is>
          <t>VII</t>
        </is>
      </c>
      <c r="B10" s="4" t="inlineStr">
        <is>
          <t>Chi phí dự phòng (G_DP = G_DP1 khối lượng phát sinh 10% + G_DP2 trượt giá)</t>
        </is>
      </c>
      <c r="C10" s="6">
        <f>ROUND(SUM(E4:E9)*0.10,0)</f>
        <v/>
      </c>
      <c r="D10" s="6" t="n">
        <v>0</v>
      </c>
      <c r="E10" s="6">
        <f>C10+D10</f>
        <v/>
      </c>
      <c r="F10" s="7" t="inlineStr">
        <is>
          <t>Dự phòng 10% theo NĐ 206/2026/NĐ-CP</t>
        </is>
      </c>
    </row>
    <row r="11">
      <c r="A11" s="3" t="inlineStr">
        <is>
          <t>TỔNG</t>
        </is>
      </c>
      <c r="B11" s="8" t="inlineStr">
        <is>
          <t>TỔNG CỘNG TỔNG MỨC ĐẦU TƯ / DỰ TOÁN (I + II + III + IV + V + VI + VII)</t>
        </is>
      </c>
      <c r="C11" s="6">
        <f>SUM(C4:C10)</f>
        <v/>
      </c>
      <c r="D11" s="6">
        <f>SUM(D4:D10)</f>
        <v/>
      </c>
      <c r="E11" s="6">
        <f>SUM(E4:E10)</f>
        <v/>
      </c>
      <c r="F11" s="7" t="inlineStr">
        <is>
          <t>Làm tròn ngàn đồng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2026-10-21T02:50:21Z</dcterms:created>
  <dcterms:modified xmlns:dcterms="http://purl.org/dc/terms/" xmlns:xsi="http://www.w3.org/2001/XMLSchema-instance" xsi:type="dcterms:W3CDTF">2026-10-21T02:50:21Z</dcterms:modified>
</cp:coreProperties>
</file>
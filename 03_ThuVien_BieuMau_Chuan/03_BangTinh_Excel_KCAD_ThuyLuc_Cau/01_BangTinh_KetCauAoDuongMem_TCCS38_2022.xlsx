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KCAD_Mem_TCCS38_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7">
    <font>
      <name val="Calibri"/>
      <family val="2"/>
      <color theme="1"/>
      <sz val="11"/>
      <scheme val="minor"/>
    </font>
    <font>
      <name val="Times New Roman"/>
      <b val="1"/>
      <color rgb="00003366"/>
      <sz val="14"/>
    </font>
    <font>
      <name val="Times New Roman"/>
      <i val="1"/>
      <color rgb="00333333"/>
      <sz val="11"/>
    </font>
    <font>
      <name val="Times New Roman"/>
      <b val="1"/>
      <color rgb="00FFFFFF"/>
      <sz val="12"/>
    </font>
    <font>
      <name val="Times New Roman"/>
      <b val="1"/>
      <color rgb="00003366"/>
      <sz val="11"/>
    </font>
    <font>
      <name val="Times New Roman"/>
      <b val="1"/>
      <color rgb="00990000"/>
      <sz val="11"/>
    </font>
    <font>
      <name val="Times New Roman"/>
      <b val="1"/>
      <color rgb="000000CC"/>
      <sz val="11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9" fontId="5" fillId="4" borderId="1" applyAlignment="1" pivotButton="0" quotePrefix="0" xfId="0">
      <alignment horizontal="right" vertical="center" wrapText="1"/>
    </xf>
    <xf numFmtId="1" fontId="6" fillId="5" borderId="1" applyAlignment="1" pivotButton="0" quotePrefix="0" xfId="0">
      <alignment horizontal="right" vertical="center" wrapText="1"/>
    </xf>
    <xf numFmtId="3" fontId="6" fillId="5" borderId="1" applyAlignment="1" pivotButton="0" quotePrefix="0" xfId="0">
      <alignment horizontal="right" vertical="center" wrapText="1"/>
    </xf>
    <xf numFmtId="2" fontId="6" fillId="5" borderId="1" applyAlignment="1" pivotButton="0" quotePrefix="0" xfId="0">
      <alignment horizontal="right" vertical="center" wrapText="1"/>
    </xf>
    <xf numFmtId="164" fontId="6" fillId="5" borderId="1" applyAlignment="1" pivotButton="0" quotePrefix="0" xfId="0">
      <alignment horizontal="right" vertical="center" wrapText="1"/>
    </xf>
    <xf numFmtId="164" fontId="5" fillId="4" borderId="1" applyAlignment="1" pivotButton="0" quotePrefix="0" xfId="0">
      <alignment horizontal="right" vertical="center" wrapText="1"/>
    </xf>
    <xf numFmtId="2" fontId="5" fillId="4" borderId="1" applyAlignment="1" pivotButton="0" quotePrefix="0" xfId="0">
      <alignment horizontal="right" vertical="center" wrapText="1"/>
    </xf>
    <xf numFmtId="165" fontId="5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4" customWidth="1" min="3" max="3"/>
    <col width="16" customWidth="1" min="4" max="4"/>
    <col width="16" customWidth="1" min="5" max="5"/>
    <col width="28" customWidth="1" min="6" max="6"/>
  </cols>
  <sheetData>
    <row r="1">
      <c r="A1" s="1" t="inlineStr">
        <is>
          <t>BẢNG TÍNH KIỂM TOÁN KẾT CẤU ÁO ĐƯỜNG MỀM (THEO TCCS 38:2022/TCĐBVN)</t>
        </is>
      </c>
    </row>
    <row r="2">
      <c r="A2" s="2" t="inlineStr">
        <is>
          <t>Ghi chú: Các ô màu VÀNG (chữ xanh) là thông số đầu vào có thể thay đổi; các ô màu XANH LÁ là kết quả tự động tính toán.</t>
        </is>
      </c>
    </row>
    <row r="4">
      <c r="A4" s="3" t="inlineStr">
        <is>
          <t>I. THÔNG SỐ ĐẦU VÀO VÀ QUY ĐỔI TRỤC XE TIÊU CHUẨN (P = 100 kN)</t>
        </is>
      </c>
      <c r="B4" s="3" t="n"/>
      <c r="C4" s="3" t="n"/>
      <c r="D4" s="3" t="n"/>
      <c r="E4" s="3" t="n"/>
      <c r="F4" s="3" t="n"/>
    </row>
    <row r="5">
      <c r="A5" s="4" t="inlineStr">
        <is>
          <t>TT</t>
        </is>
      </c>
      <c r="B5" s="4" t="inlineStr">
        <is>
          <t>Thông số thiết kế</t>
        </is>
      </c>
      <c r="C5" s="4" t="inlineStr">
        <is>
          <t>Ký hiệu</t>
        </is>
      </c>
      <c r="D5" s="4" t="inlineStr">
        <is>
          <t>Giá trị</t>
        </is>
      </c>
      <c r="E5" s="4" t="inlineStr">
        <is>
          <t>Đơn vị</t>
        </is>
      </c>
      <c r="F5" s="4" t="inlineStr">
        <is>
          <t>Căn cứ / Ghi chú</t>
        </is>
      </c>
    </row>
    <row r="6">
      <c r="A6" s="5" t="n">
        <v>1</v>
      </c>
      <c r="B6" s="6" t="inlineStr">
        <is>
          <t>Cấp kỹ thuật của đường</t>
        </is>
      </c>
      <c r="C6" s="5" t="inlineStr">
        <is>
          <t>Cấp đường</t>
        </is>
      </c>
      <c r="D6" s="7" t="inlineStr">
        <is>
          <t>Cấp III</t>
        </is>
      </c>
      <c r="E6" s="5" t="inlineStr">
        <is>
          <t>-</t>
        </is>
      </c>
      <c r="F6" s="6" t="inlineStr">
        <is>
          <t>TCVN 4054:2005 / TCVN 13592:2022</t>
        </is>
      </c>
    </row>
    <row r="7">
      <c r="A7" s="5" t="n">
        <v>2</v>
      </c>
      <c r="B7" s="6" t="inlineStr">
        <is>
          <t>Thời hạn thiết kế áo đường mềm</t>
        </is>
      </c>
      <c r="C7" s="5" t="inlineStr">
        <is>
          <t>T_tk</t>
        </is>
      </c>
      <c r="D7" s="8" t="n">
        <v>15</v>
      </c>
      <c r="E7" s="5" t="inlineStr">
        <is>
          <t>năm</t>
        </is>
      </c>
      <c r="F7" s="6" t="inlineStr">
        <is>
          <t>Bảng 3.1 - TCCS 38:2022</t>
        </is>
      </c>
    </row>
    <row r="8">
      <c r="A8" s="5" t="n">
        <v>3</v>
      </c>
      <c r="B8" s="6" t="inlineStr">
        <is>
          <t>Tổng số trục xe quy đổi 100kN ở năm cuối thời hạn TK</t>
        </is>
      </c>
      <c r="C8" s="5" t="inlineStr">
        <is>
          <t>N_tk</t>
        </is>
      </c>
      <c r="D8" s="9" t="n">
        <v>1250</v>
      </c>
      <c r="E8" s="5" t="inlineStr">
        <is>
          <t>trục/ngày.đêm/làn</t>
        </is>
      </c>
      <c r="F8" s="6" t="inlineStr">
        <is>
          <t>Kết quả quy đổi lưu lượng xe</t>
        </is>
      </c>
    </row>
    <row r="9">
      <c r="A9" s="5" t="n">
        <v>4</v>
      </c>
      <c r="B9" s="6" t="inlineStr">
        <is>
          <t>Độ tin cậy thiết kế yêu cầu</t>
        </is>
      </c>
      <c r="C9" s="5" t="inlineStr">
        <is>
          <t>K_tc</t>
        </is>
      </c>
      <c r="D9" s="10" t="n">
        <v>0.95</v>
      </c>
      <c r="E9" s="5" t="inlineStr">
        <is>
          <t>-</t>
        </is>
      </c>
      <c r="F9" s="6" t="inlineStr">
        <is>
          <t>Cấp II, III lấy 0.90 - 0.95</t>
        </is>
      </c>
    </row>
    <row r="10">
      <c r="A10" s="5" t="n">
        <v>5</v>
      </c>
      <c r="B10" s="6" t="inlineStr">
        <is>
          <t>Hệ số độ tin cậy theo cường độ (với K_tc = 0.95)</t>
        </is>
      </c>
      <c r="C10" s="5" t="inlineStr">
        <is>
          <t>K_cd</t>
        </is>
      </c>
      <c r="D10" s="10" t="n">
        <v>1.17</v>
      </c>
      <c r="E10" s="5" t="inlineStr">
        <is>
          <t>-</t>
        </is>
      </c>
      <c r="F10" s="6" t="inlineStr">
        <is>
          <t>Bảng 3.3 - TCCS 38:2022 (1.10 ÷ 1.29)</t>
        </is>
      </c>
    </row>
    <row r="11">
      <c r="A11" s="5" t="n">
        <v>6</v>
      </c>
      <c r="B11" s="6" t="inlineStr">
        <is>
          <t>Mô đun đàn hồi yêu cầu tối thiểu theo cấp đường</t>
        </is>
      </c>
      <c r="C11" s="5" t="inlineStr">
        <is>
          <t>E_yc_min</t>
        </is>
      </c>
      <c r="D11" s="11" t="n">
        <v>160</v>
      </c>
      <c r="E11" s="5" t="inlineStr">
        <is>
          <t>MPa</t>
        </is>
      </c>
      <c r="F11" s="6" t="inlineStr">
        <is>
          <t>Bảng 3.4 - TCCS 38:2022</t>
        </is>
      </c>
    </row>
    <row r="12">
      <c r="A12" s="5" t="n">
        <v>7</v>
      </c>
      <c r="B12" s="6" t="inlineStr">
        <is>
          <t>Mô đun đàn hồi yêu cầu tính theo lưu lượng N_tk</t>
        </is>
      </c>
      <c r="C12" s="5" t="inlineStr">
        <is>
          <t>E_yc_tinh</t>
        </is>
      </c>
      <c r="D12" s="12">
        <f>ROUND(35*LN(D8)-82,1)</f>
        <v/>
      </c>
      <c r="E12" s="5" t="inlineStr">
        <is>
          <t>MPa</t>
        </is>
      </c>
      <c r="F12" s="6" t="inlineStr">
        <is>
          <t>Quan hệ thực nghiệm theo N_tk</t>
        </is>
      </c>
    </row>
    <row r="13">
      <c r="A13" s="5" t="n">
        <v>8</v>
      </c>
      <c r="B13" s="6" t="inlineStr">
        <is>
          <t>Mô đun đàn hồi yêu cầu thiết kế lấy để kiểm toán</t>
        </is>
      </c>
      <c r="C13" s="5" t="inlineStr">
        <is>
          <t>E_yc</t>
        </is>
      </c>
      <c r="D13" s="12">
        <f>MAX(D11,D12)</f>
        <v/>
      </c>
      <c r="E13" s="5" t="inlineStr">
        <is>
          <t>MPa</t>
        </is>
      </c>
      <c r="F13" s="6" t="inlineStr">
        <is>
          <t>E_yc = Max(E_yc_min, E_yc_tinh)</t>
        </is>
      </c>
    </row>
    <row r="14">
      <c r="A14" s="5" t="n">
        <v>9</v>
      </c>
      <c r="B14" s="6" t="inlineStr">
        <is>
          <t>Mô đun đàn hồi nền đất đắp K98 (vùng tác dụng)</t>
        </is>
      </c>
      <c r="C14" s="5" t="inlineStr">
        <is>
          <t>E_0</t>
        </is>
      </c>
      <c r="D14" s="11" t="n">
        <v>45</v>
      </c>
      <c r="E14" s="5" t="inlineStr">
        <is>
          <t>MPa</t>
        </is>
      </c>
      <c r="F14" s="6" t="inlineStr">
        <is>
          <t>Đất đắp K98 đạt CBR &gt;= 8% (42 ÷ 50 MPa)</t>
        </is>
      </c>
    </row>
    <row r="15">
      <c r="A15" s="5" t="n">
        <v>10</v>
      </c>
      <c r="B15" s="6" t="inlineStr">
        <is>
          <t>Đường kính vệt bánh xe tiêu chuẩn 100 kN</t>
        </is>
      </c>
      <c r="C15" s="5" t="inlineStr">
        <is>
          <t>D</t>
        </is>
      </c>
      <c r="D15" s="11" t="n">
        <v>33</v>
      </c>
      <c r="E15" s="5" t="inlineStr">
        <is>
          <t>cm</t>
        </is>
      </c>
      <c r="F15" s="6" t="inlineStr">
        <is>
          <t>Trục đơn tiêu chuẩn 100 kN (D = 33cm)</t>
        </is>
      </c>
    </row>
    <row r="17">
      <c r="A17" s="3" t="inlineStr">
        <is>
          <t>II. CẤU TẠO CÁC LỚP KẾT CẤU ÁO ĐƯỜNG VÀ THÔNG SỐ VẬT LIỆU</t>
        </is>
      </c>
      <c r="B17" s="3" t="n"/>
      <c r="C17" s="3" t="n"/>
      <c r="D17" s="3" t="n"/>
      <c r="E17" s="3" t="n"/>
      <c r="F17" s="3" t="n"/>
    </row>
    <row r="18">
      <c r="A18" s="4" t="inlineStr">
        <is>
          <t>Lớp</t>
        </is>
      </c>
      <c r="B18" s="4" t="inlineStr">
        <is>
          <t>Tên lớp vật liệu kết cấu áo đường</t>
        </is>
      </c>
      <c r="C18" s="4" t="inlineStr">
        <is>
          <t>Chiều dày h_i (cm)</t>
        </is>
      </c>
      <c r="D18" s="4" t="inlineStr">
        <is>
          <t>E_đàn hồi (MPa)</t>
        </is>
      </c>
      <c r="E18" s="4" t="inlineStr">
        <is>
          <t>E_uốn (MPa)</t>
        </is>
      </c>
      <c r="F18" s="4" t="inlineStr">
        <is>
          <t>R_ku tiêu chuẩn (MPa)</t>
        </is>
      </c>
    </row>
    <row r="19">
      <c r="A19" s="5" t="inlineStr">
        <is>
          <t>Lớp 1</t>
        </is>
      </c>
      <c r="B19" s="6" t="inlineStr">
        <is>
          <t>Bê tông nhựa chặt BTNC 12.5 (nhựa 60/70)</t>
        </is>
      </c>
      <c r="C19" s="11" t="n">
        <v>5</v>
      </c>
      <c r="D19" s="11" t="n">
        <v>420</v>
      </c>
      <c r="E19" s="11" t="n">
        <v>1800</v>
      </c>
      <c r="F19" s="10" t="n">
        <v>2.8</v>
      </c>
    </row>
    <row r="20">
      <c r="A20" s="5" t="inlineStr">
        <is>
          <t>Lớp 2</t>
        </is>
      </c>
      <c r="B20" s="6" t="inlineStr">
        <is>
          <t>Bê tông nhựa chặt BTNC 19 (nhựa 60/70)</t>
        </is>
      </c>
      <c r="C20" s="11" t="n">
        <v>7</v>
      </c>
      <c r="D20" s="11" t="n">
        <v>350</v>
      </c>
      <c r="E20" s="11" t="n">
        <v>1600</v>
      </c>
      <c r="F20" s="10" t="n">
        <v>2.2</v>
      </c>
    </row>
    <row r="21">
      <c r="A21" s="5" t="inlineStr">
        <is>
          <t>Lớp 3</t>
        </is>
      </c>
      <c r="B21" s="6" t="inlineStr">
        <is>
          <t>Cấp phối đá dăm loại I (Dmax = 25mm)</t>
        </is>
      </c>
      <c r="C21" s="11" t="n">
        <v>18</v>
      </c>
      <c r="D21" s="11" t="n">
        <v>300</v>
      </c>
      <c r="E21" s="11" t="n">
        <v>300</v>
      </c>
      <c r="F21" s="10" t="n">
        <v>0</v>
      </c>
    </row>
    <row r="22">
      <c r="A22" s="5" t="inlineStr">
        <is>
          <t>Lớp 4</t>
        </is>
      </c>
      <c r="B22" s="6" t="inlineStr">
        <is>
          <t>Cấp phối đá dăm loại II (Dmax = 37.5mm)</t>
        </is>
      </c>
      <c r="C22" s="11" t="n">
        <v>30</v>
      </c>
      <c r="D22" s="11" t="n">
        <v>250</v>
      </c>
      <c r="E22" s="11" t="n">
        <v>250</v>
      </c>
      <c r="F22" s="10" t="n">
        <v>0</v>
      </c>
    </row>
    <row r="24">
      <c r="A24" s="3" t="inlineStr">
        <is>
          <t>III. TÍNH TOÁN QUY ĐỔI HỆ NHIỀU LỚP VỀ HỆ 2 LỚP VÀ KIỂM TOÁN 3 ĐIỀU KIỆN</t>
        </is>
      </c>
      <c r="B24" s="3" t="n"/>
      <c r="C24" s="3" t="n"/>
      <c r="D24" s="3" t="n"/>
      <c r="E24" s="3" t="n"/>
      <c r="F24" s="3" t="n"/>
    </row>
    <row r="25">
      <c r="A25" s="5" t="inlineStr">
        <is>
          <t>1</t>
        </is>
      </c>
      <c r="B25" s="6" t="inlineStr">
        <is>
          <t>Tổng chiều dày các lớp kết cấu áo đường (H_tc)</t>
        </is>
      </c>
      <c r="C25" s="5" t="inlineStr">
        <is>
          <t>H_tc</t>
        </is>
      </c>
      <c r="D25" s="12">
        <f>SUM(C19:C22)</f>
        <v/>
      </c>
      <c r="E25" s="5" t="inlineStr">
        <is>
          <t>cm</t>
        </is>
      </c>
      <c r="F25" s="6" t="inlineStr">
        <is>
          <t>H_tc = ∑h_i</t>
        </is>
      </c>
    </row>
    <row r="26">
      <c r="A26" s="5" t="inlineStr">
        <is>
          <t>2</t>
        </is>
      </c>
      <c r="B26" s="6" t="inlineStr">
        <is>
          <t>Tỷ số H_tc / D (vệt bánh xe D = 33cm)</t>
        </is>
      </c>
      <c r="C26" s="5" t="inlineStr">
        <is>
          <t>H_tc / D</t>
        </is>
      </c>
      <c r="D26" s="13">
        <f>D25/D15</f>
        <v/>
      </c>
      <c r="E26" s="5" t="inlineStr">
        <is>
          <t>-</t>
        </is>
      </c>
      <c r="F26" s="6" t="inlineStr">
        <is>
          <t>Dùng để tra toán đồ Kogan / Odemark</t>
        </is>
      </c>
    </row>
    <row r="27">
      <c r="A27" s="5" t="inlineStr">
        <is>
          <t>3</t>
        </is>
      </c>
      <c r="B27" s="6" t="inlineStr">
        <is>
          <t>Mô đun đàn hồi trung bình có trọng số các lớp (E_tb)</t>
        </is>
      </c>
      <c r="C27" s="5" t="inlineStr">
        <is>
          <t>E_tb</t>
        </is>
      </c>
      <c r="D27" s="12">
        <f>((C19*D19^(1/3)+C20*D20^(1/3)+C21*D21^(1/3)+C22*D22^(1/3))/D25)^3</f>
        <v/>
      </c>
      <c r="E27" s="5" t="inlineStr">
        <is>
          <t>MPa</t>
        </is>
      </c>
      <c r="F27" s="6" t="inlineStr">
        <is>
          <t>Quy đổi tương đương theo công thức Odemark</t>
        </is>
      </c>
    </row>
    <row r="28">
      <c r="A28" s="5" t="inlineStr">
        <is>
          <t>4</t>
        </is>
      </c>
      <c r="B28" s="6" t="inlineStr">
        <is>
          <t>Tỷ số E_0 / E_tb</t>
        </is>
      </c>
      <c r="C28" s="5" t="inlineStr">
        <is>
          <t>E_0 / E_tb</t>
        </is>
      </c>
      <c r="D28" s="14">
        <f>D14/D27</f>
        <v/>
      </c>
      <c r="E28" s="5" t="inlineStr">
        <is>
          <t>-</t>
        </is>
      </c>
      <c r="F28" s="6" t="inlineStr">
        <is>
          <t>Tỷ số mô đun nền đất và tầng mặt</t>
        </is>
      </c>
    </row>
    <row r="29">
      <c r="A29" s="5" t="inlineStr">
        <is>
          <t>5</t>
        </is>
      </c>
      <c r="B29" s="6" t="inlineStr">
        <is>
          <t>Mô đun đàn hồi chung trên mặt KCAD (E_ch)</t>
        </is>
      </c>
      <c r="C29" s="5" t="inlineStr">
        <is>
          <t>E_ch</t>
        </is>
      </c>
      <c r="D29" s="12">
        <f>ROUND(D27*(1-0.62*EXP(-0.85*D26)*(1-D28^0.75)),1)</f>
        <v/>
      </c>
      <c r="E29" s="5" t="inlineStr">
        <is>
          <t>MPa</t>
        </is>
      </c>
      <c r="F29" s="6" t="inlineStr">
        <is>
          <t>Trị số mô đun đàn hồi chung trên mặt đường</t>
        </is>
      </c>
    </row>
    <row r="30">
      <c r="A30" s="5" t="inlineStr">
        <is>
          <t>6</t>
        </is>
      </c>
      <c r="B30" s="6" t="inlineStr">
        <is>
          <t>Mô đun đàn hồi yêu cầu có xét hệ số độ tin cậy (K_cd * E_yc)</t>
        </is>
      </c>
      <c r="C30" s="5" t="inlineStr">
        <is>
          <t>E_yc_tk</t>
        </is>
      </c>
      <c r="D30" s="12">
        <f>ROUND(D10*D13,1)</f>
        <v/>
      </c>
      <c r="E30" s="5" t="inlineStr">
        <is>
          <t>MPa</t>
        </is>
      </c>
      <c r="F30" s="6" t="inlineStr">
        <is>
          <t>Điều kiện 1: E_ch &gt;= K_cd * E_yc</t>
        </is>
      </c>
    </row>
    <row r="31">
      <c r="A31" s="5" t="inlineStr">
        <is>
          <t>7</t>
        </is>
      </c>
      <c r="B31" s="6" t="inlineStr">
        <is>
          <t>KẾT LUẬN KIỂM TOÁN CƯỜNG ĐỘ CHUNG (ĐỘ VÕNG ĐÀN HỒI)</t>
        </is>
      </c>
      <c r="C31" s="5" t="inlineStr">
        <is>
          <t>KL_1</t>
        </is>
      </c>
      <c r="D31" s="7">
        <f>IF(D29&gt;=D30,"ĐẠT (E_ch &gt;= K_cd*E_yc)","KHÔNG ĐẠT - CẦN TĂNG CHIỀU DÀY")</f>
        <v/>
      </c>
      <c r="E31" s="5" t="inlineStr">
        <is>
          <t>-</t>
        </is>
      </c>
      <c r="F31" s="6" t="inlineStr">
        <is>
          <t>Theo Mục 3.3 - TCCS 38:2022/TCĐBVN</t>
        </is>
      </c>
    </row>
    <row r="32">
      <c r="A32" s="5" t="inlineStr">
        <is>
          <t>8</t>
        </is>
      </c>
      <c r="B32" s="6" t="inlineStr">
        <is>
          <t>Ứng suất kéo uốn phát sinh tại đáy lớp BTN dưới (σ_ku)</t>
        </is>
      </c>
      <c r="C32" s="5" t="inlineStr">
        <is>
          <t>σ_ku</t>
        </is>
      </c>
      <c r="D32" s="13">
        <f>ROUND(0.60*0.85*(1+0.15*LN(E20/D21))/(1+0.25*((C19+C20)/D15)^1.2),2)</f>
        <v/>
      </c>
      <c r="E32" s="5" t="inlineStr">
        <is>
          <t>MPa</t>
        </is>
      </c>
      <c r="F32" s="6" t="inlineStr">
        <is>
          <t>Kiểm toán nứt mỏi đáy lớp BTNC 19</t>
        </is>
      </c>
    </row>
    <row r="33">
      <c r="A33" s="5" t="inlineStr">
        <is>
          <t>9</t>
        </is>
      </c>
      <c r="B33" s="6" t="inlineStr">
        <is>
          <t>Cường độ chịu kéo uốn tính toán cho phép của BTN (R_ku_tt)</t>
        </is>
      </c>
      <c r="C33" s="5" t="inlineStr">
        <is>
          <t>R_ku_tt</t>
        </is>
      </c>
      <c r="D33" s="13">
        <f>ROUND(F20*1.0/(1.15*(D8*365*D7)^0.06),2)</f>
        <v/>
      </c>
      <c r="E33" s="5" t="inlineStr">
        <is>
          <t>MPa</t>
        </is>
      </c>
      <c r="F33" s="6" t="inlineStr">
        <is>
          <t>R_ku_tt = k_1 * k_2 * R_ku / K_cd</t>
        </is>
      </c>
    </row>
    <row r="34">
      <c r="A34" s="5" t="inlineStr">
        <is>
          <t>10</t>
        </is>
      </c>
      <c r="B34" s="6" t="inlineStr">
        <is>
          <t>KẾT LUẬN KIỂM TOÁN KÉO UỐN ĐÁY LỚP BÊ TÔNG NHỰA</t>
        </is>
      </c>
      <c r="C34" s="5" t="inlineStr">
        <is>
          <t>KL_2</t>
        </is>
      </c>
      <c r="D34" s="7">
        <f>IF(D32&lt;=D33,"ĐẠT (σ_ku &lt;= R_ku_tt)","KHÔNG ĐẠT")</f>
        <v/>
      </c>
      <c r="E34" s="5" t="inlineStr">
        <is>
          <t>-</t>
        </is>
      </c>
      <c r="F34" s="6" t="inlineStr">
        <is>
          <t>Theo Mục 3.5 - TCCS 38:2022/TCĐBVN</t>
        </is>
      </c>
    </row>
  </sheetData>
  <mergeCells count="5">
    <mergeCell ref="A24:F24"/>
    <mergeCell ref="A2:F2"/>
    <mergeCell ref="A1:F1"/>
    <mergeCell ref="A17:F17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2026-10-21T01:12:23Z</dcterms:created>
  <dcterms:modified xmlns:dcterms="http://purl.org/dc/terms/" xmlns:xsi="http://www.w3.org/2001/XMLSchema-instance" xsi:type="dcterms:W3CDTF">2026-10-21T01:12:23Z</dcterms:modified>
</cp:coreProperties>
</file>
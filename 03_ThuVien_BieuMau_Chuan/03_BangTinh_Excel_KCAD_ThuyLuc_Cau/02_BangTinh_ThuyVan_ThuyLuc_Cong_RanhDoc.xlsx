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ThuyVan_ThuyLuc_CongTron" sheetId="1" state="visible" r:id="rId1"/>
    <sheet xmlns:r="http://schemas.openxmlformats.org/officeDocument/2006/relationships" name="2_ThuyLuc_RanhDoc_Mann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6">
    <font>
      <name val="Calibri"/>
      <family val="2"/>
      <color theme="1"/>
      <sz val="11"/>
      <scheme val="minor"/>
    </font>
    <font>
      <name val="Times New Roman"/>
      <b val="1"/>
      <color rgb="00003366"/>
      <sz val="14"/>
    </font>
    <font>
      <name val="Times New Roman"/>
      <b val="1"/>
      <color rgb="00FFFFFF"/>
      <sz val="12"/>
    </font>
    <font>
      <name val="Times New Roman"/>
      <b val="1"/>
      <color rgb="00003366"/>
      <sz val="11"/>
    </font>
    <font>
      <name val="Times New Roman"/>
      <b val="1"/>
      <color rgb="000000CC"/>
      <sz val="11"/>
    </font>
    <font>
      <name val="Times New Roman"/>
      <b val="1"/>
      <color rgb="00990000"/>
      <sz val="11"/>
    </font>
  </fonts>
  <fills count="6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2" fontId="4" fillId="4" borderId="1" applyAlignment="1" pivotButton="0" quotePrefix="0" xfId="0">
      <alignment horizontal="right" vertical="center" wrapText="1"/>
    </xf>
    <xf numFmtId="164" fontId="4" fillId="4" borderId="1" applyAlignment="1" pivotButton="0" quotePrefix="0" xfId="0">
      <alignment horizontal="right" vertical="center" wrapText="1"/>
    </xf>
    <xf numFmtId="165" fontId="4" fillId="4" borderId="1" applyAlignment="1" pivotButton="0" quotePrefix="0" xfId="0">
      <alignment horizontal="right" vertical="center" wrapText="1"/>
    </xf>
    <xf numFmtId="2" fontId="5" fillId="5" borderId="1" applyAlignment="1" pivotButton="0" quotePrefix="0" xfId="0">
      <alignment horizontal="right" vertical="center" wrapText="1"/>
    </xf>
    <xf numFmtId="1" fontId="4" fillId="4" borderId="1" applyAlignment="1" pivotButton="0" quotePrefix="0" xfId="0">
      <alignment horizontal="right" vertical="center" wrapText="1"/>
    </xf>
    <xf numFmtId="49" fontId="5" fillId="5" borderId="1" applyAlignment="1" pivotButton="0" quotePrefix="0" xfId="0">
      <alignment horizontal="right" vertical="center" wrapText="1"/>
    </xf>
    <xf numFmtId="165" fontId="5" fillId="5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6" customWidth="1" min="4" max="4"/>
    <col width="16" customWidth="1" min="5" max="5"/>
    <col width="28" customWidth="1" min="6" max="6"/>
  </cols>
  <sheetData>
    <row r="1">
      <c r="A1" s="1" t="inlineStr">
        <is>
          <t>BẢNG TÍNH THỦY VĂN - THỦY LỰC CỐNG THOÁT NƯỚC NGANG &amp; RÃNH DỌC (TCVN 9845:2013)</t>
        </is>
      </c>
    </row>
    <row r="3">
      <c r="A3" s="2" t="inlineStr">
        <is>
          <t>I. TÍNH LƯU LƯỢNG ĐỈNH LŨ NHỎ THEO CÔNG THỨC CƯỜNG ĐỘ GIỚI HẠN (F &lt; 100 km2)</t>
        </is>
      </c>
      <c r="B3" s="2" t="n"/>
      <c r="C3" s="2" t="n"/>
      <c r="D3" s="2" t="n"/>
      <c r="E3" s="2" t="n"/>
      <c r="F3" s="2" t="n"/>
    </row>
    <row r="4">
      <c r="A4" s="3" t="inlineStr">
        <is>
          <t>TT</t>
        </is>
      </c>
      <c r="B4" s="3" t="inlineStr">
        <is>
          <t>Thông số tính toán thủy văn - thủy lực</t>
        </is>
      </c>
      <c r="C4" s="3" t="inlineStr">
        <is>
          <t>Ký hiệu</t>
        </is>
      </c>
      <c r="D4" s="3" t="inlineStr">
        <is>
          <t>Giá trị</t>
        </is>
      </c>
      <c r="E4" s="3" t="inlineStr">
        <is>
          <t>Đơn vị</t>
        </is>
      </c>
      <c r="F4" s="3" t="inlineStr">
        <is>
          <t>Công thức / Tiêu chuẩn</t>
        </is>
      </c>
    </row>
    <row r="5">
      <c r="A5" s="4" t="inlineStr">
        <is>
          <t>1</t>
        </is>
      </c>
      <c r="B5" s="5" t="inlineStr">
        <is>
          <t>Diện tích lưu vực tụ nước tính đến tim cống</t>
        </is>
      </c>
      <c r="C5" s="4" t="inlineStr">
        <is>
          <t>F</t>
        </is>
      </c>
      <c r="D5" s="6" t="n">
        <v>0.85</v>
      </c>
      <c r="E5" s="4" t="inlineStr">
        <is>
          <t>km2</t>
        </is>
      </c>
      <c r="F5" s="5" t="inlineStr">
        <is>
          <t>Đo trên bình đồ 1/10.000 hoặc DEM</t>
        </is>
      </c>
    </row>
    <row r="6">
      <c r="A6" s="4" t="inlineStr">
        <is>
          <t>2</t>
        </is>
      </c>
      <c r="B6" s="5" t="inlineStr">
        <is>
          <t>Chiều dài dòng chảy chính từ điểm xa nhất đến cống</t>
        </is>
      </c>
      <c r="C6" s="4" t="inlineStr">
        <is>
          <t>L</t>
        </is>
      </c>
      <c r="D6" s="6" t="n">
        <v>1.2</v>
      </c>
      <c r="E6" s="4" t="inlineStr">
        <is>
          <t>km</t>
        </is>
      </c>
      <c r="F6" s="5" t="inlineStr">
        <is>
          <t>Đo trên bình đồ lưu vực</t>
        </is>
      </c>
    </row>
    <row r="7">
      <c r="A7" s="4" t="inlineStr">
        <is>
          <t>3</t>
        </is>
      </c>
      <c r="B7" s="5" t="inlineStr">
        <is>
          <t>Độ dốc trung bình của lòng suối chính</t>
        </is>
      </c>
      <c r="C7" s="4" t="inlineStr">
        <is>
          <t>J_s</t>
        </is>
      </c>
      <c r="D7" s="7" t="n">
        <v>15</v>
      </c>
      <c r="E7" s="4" t="inlineStr">
        <is>
          <t>‰</t>
        </is>
      </c>
      <c r="F7" s="5" t="inlineStr">
        <is>
          <t>J_s = (H_max - H_min) / L</t>
        </is>
      </c>
    </row>
    <row r="8">
      <c r="A8" s="4" t="inlineStr">
        <is>
          <t>4</t>
        </is>
      </c>
      <c r="B8" s="5" t="inlineStr">
        <is>
          <t>Lượng mưa ngày lớn nhất ứng với tần suất thiết kế P = 2%</t>
        </is>
      </c>
      <c r="C8" s="4" t="inlineStr">
        <is>
          <t>H_p</t>
        </is>
      </c>
      <c r="D8" s="7" t="n">
        <v>240</v>
      </c>
      <c r="E8" s="4" t="inlineStr">
        <is>
          <t>mm</t>
        </is>
      </c>
      <c r="F8" s="5" t="inlineStr">
        <is>
          <t>Tra trạm khí tượng khu vực dự án</t>
        </is>
      </c>
    </row>
    <row r="9">
      <c r="A9" s="4" t="inlineStr">
        <is>
          <t>5</t>
        </is>
      </c>
      <c r="B9" s="5" t="inlineStr">
        <is>
          <t>Hệ số dòng chảy lũ thiết kế (phụ thuộc loại đất và F)</t>
        </is>
      </c>
      <c r="C9" s="4" t="inlineStr">
        <is>
          <t>φ</t>
        </is>
      </c>
      <c r="D9" s="6" t="n">
        <v>0.65</v>
      </c>
      <c r="E9" s="4" t="inlineStr">
        <is>
          <t>-</t>
        </is>
      </c>
      <c r="F9" s="5" t="inlineStr">
        <is>
          <t>Bảng tra TCVN 9845:2013 (0.45 ÷ 0.80)</t>
        </is>
      </c>
    </row>
    <row r="10">
      <c r="A10" s="4" t="inlineStr">
        <is>
          <t>6</t>
        </is>
      </c>
      <c r="B10" s="5" t="inlineStr">
        <is>
          <t>Mô đun đỉnh lũ ứng với thời gian tập trung nước (A_p)</t>
        </is>
      </c>
      <c r="C10" s="4" t="inlineStr">
        <is>
          <t>A_p</t>
        </is>
      </c>
      <c r="D10" s="8" t="n">
        <v>0.042</v>
      </c>
      <c r="E10" s="4" t="inlineStr">
        <is>
          <t>-</t>
        </is>
      </c>
      <c r="F10" s="5" t="inlineStr">
        <is>
          <t>Tra toán đồ chuẩn TCVN 9845:2013</t>
        </is>
      </c>
    </row>
    <row r="11">
      <c r="A11" s="4" t="inlineStr">
        <is>
          <t>7</t>
        </is>
      </c>
      <c r="B11" s="5" t="inlineStr">
        <is>
          <t>Hệ số triết giảm do hồ ao / rừng cây trong lưu vực (δ)</t>
        </is>
      </c>
      <c r="C11" s="4" t="inlineStr">
        <is>
          <t>δ</t>
        </is>
      </c>
      <c r="D11" s="6" t="n">
        <v>1</v>
      </c>
      <c r="E11" s="4" t="inlineStr">
        <is>
          <t>-</t>
        </is>
      </c>
      <c r="F11" s="5" t="inlineStr">
        <is>
          <t>Lấy δ = 1.0 nếu không có hồ điều tiết</t>
        </is>
      </c>
    </row>
    <row r="12">
      <c r="A12" s="4" t="inlineStr">
        <is>
          <t>8</t>
        </is>
      </c>
      <c r="B12" s="5" t="inlineStr">
        <is>
          <t>LƯU LƯỢNG ĐỈNH LŨ THIẾT KẾ TẠI VỊ TRÍ CỐNG (Q_p)</t>
        </is>
      </c>
      <c r="C12" s="4" t="inlineStr">
        <is>
          <t>Q_p</t>
        </is>
      </c>
      <c r="D12" s="9">
        <f>ROUND(D9*D8*D7*D5*D10,2)</f>
        <v/>
      </c>
      <c r="E12" s="4" t="inlineStr">
        <is>
          <t>m3/s</t>
        </is>
      </c>
      <c r="F12" s="5" t="inlineStr">
        <is>
          <t>Q_p = A_p * φ * H_p * δ * F</t>
        </is>
      </c>
    </row>
    <row r="13">
      <c r="A13" s="4" t="inlineStr">
        <is>
          <t>9</t>
        </is>
      </c>
      <c r="B13" s="5" t="inlineStr">
        <is>
          <t>Đường kính trong của cống tròn BTCT dự kiến chọn (D)</t>
        </is>
      </c>
      <c r="C13" s="4" t="inlineStr">
        <is>
          <t>D</t>
        </is>
      </c>
      <c r="D13" s="6" t="n">
        <v>1.5</v>
      </c>
      <c r="E13" s="4" t="inlineStr">
        <is>
          <t>m</t>
        </is>
      </c>
      <c r="F13" s="5" t="inlineStr">
        <is>
          <t>Chọn cống D100, D125, D150, D200...</t>
        </is>
      </c>
    </row>
    <row r="14">
      <c r="A14" s="4" t="inlineStr">
        <is>
          <t>10</t>
        </is>
      </c>
      <c r="B14" s="5" t="inlineStr">
        <is>
          <t>Số cửa cống bố trí tại 1 vị trí (n)</t>
        </is>
      </c>
      <c r="C14" s="4" t="inlineStr">
        <is>
          <t>n</t>
        </is>
      </c>
      <c r="D14" s="10" t="n">
        <v>1</v>
      </c>
      <c r="E14" s="4" t="inlineStr">
        <is>
          <t>cửa</t>
        </is>
      </c>
      <c r="F14" s="5" t="inlineStr">
        <is>
          <t>Cống đơn (1), Cống đôi (2), Cống ba (3)</t>
        </is>
      </c>
    </row>
    <row r="15">
      <c r="A15" s="4" t="inlineStr">
        <is>
          <t>11</t>
        </is>
      </c>
      <c r="B15" s="5" t="inlineStr">
        <is>
          <t>Hệ số lưu lượng của cửa vào cống (m)</t>
        </is>
      </c>
      <c r="C15" s="4" t="inlineStr">
        <is>
          <t>m</t>
        </is>
      </c>
      <c r="D15" s="6" t="n">
        <v>0.35</v>
      </c>
      <c r="E15" s="4" t="inlineStr">
        <is>
          <t>-</t>
        </is>
      </c>
      <c r="F15" s="5" t="inlineStr">
        <is>
          <t>Tường cánh loe m = 0.35; Cổng hộp m = 0.36</t>
        </is>
      </c>
    </row>
    <row r="16">
      <c r="A16" s="4" t="inlineStr">
        <is>
          <t>12</t>
        </is>
      </c>
      <c r="B16" s="5" t="inlineStr">
        <is>
          <t>Khả năng thoát nước của 1 cửa cống chế độ không áp (Q_tk_1)</t>
        </is>
      </c>
      <c r="C16" s="4" t="inlineStr">
        <is>
          <t>Q_tk_1</t>
        </is>
      </c>
      <c r="D16" s="9">
        <f>ROUND(1.65*D15*SQRT(9.81)*D13^2.5,2)</f>
        <v/>
      </c>
      <c r="E16" s="4" t="inlineStr">
        <is>
          <t>m3/s</t>
        </is>
      </c>
      <c r="F16" s="5" t="inlineStr">
        <is>
          <t>Q_gh = 1.65 * m * sqrt(g) * D^2.5</t>
        </is>
      </c>
    </row>
    <row r="17">
      <c r="A17" s="4" t="inlineStr">
        <is>
          <t>13</t>
        </is>
      </c>
      <c r="B17" s="5" t="inlineStr">
        <is>
          <t>Tổng khả năng thoát nước của toàn bộ cống (Q_cống)</t>
        </is>
      </c>
      <c r="C17" s="4" t="inlineStr">
        <is>
          <t>Q_cống</t>
        </is>
      </c>
      <c r="D17" s="9">
        <f>ROUND(D14*D16,2)</f>
        <v/>
      </c>
      <c r="E17" s="4" t="inlineStr">
        <is>
          <t>m3/s</t>
        </is>
      </c>
      <c r="F17" s="5" t="inlineStr">
        <is>
          <t>Q_cống = n * Q_tk_1</t>
        </is>
      </c>
    </row>
    <row r="18">
      <c r="A18" s="4" t="inlineStr">
        <is>
          <t>14</t>
        </is>
      </c>
      <c r="B18" s="5" t="inlineStr">
        <is>
          <t>Chiều sâu nước dâng trước cống (H_dâng)</t>
        </is>
      </c>
      <c r="C18" s="4" t="inlineStr">
        <is>
          <t>H_dâng</t>
        </is>
      </c>
      <c r="D18" s="9">
        <f>ROUND((D12/(D14*1.55*D15*SQRT(9.81)*D13^1.5))^(2/3)*D13,2)</f>
        <v/>
      </c>
      <c r="E18" s="4" t="inlineStr">
        <is>
          <t>m</t>
        </is>
      </c>
      <c r="F18" s="5" t="inlineStr">
        <is>
          <t>Kiểm tra điều kiện không áp H_dâng &lt;= 1.2*D</t>
        </is>
      </c>
    </row>
    <row r="19">
      <c r="A19" s="4" t="inlineStr">
        <is>
          <t>15</t>
        </is>
      </c>
      <c r="B19" s="5" t="inlineStr">
        <is>
          <t>Vận tốc nước chảy ra ở cuối cống (V_ra)</t>
        </is>
      </c>
      <c r="C19" s="4" t="inlineStr">
        <is>
          <t>V_ra</t>
        </is>
      </c>
      <c r="D19" s="9">
        <f>ROUND((D12/D14)/(0.65*3.1416*D13^2/4),2)</f>
        <v/>
      </c>
      <c r="E19" s="4" t="inlineStr">
        <is>
          <t>m/s</t>
        </is>
      </c>
      <c r="F19" s="5" t="inlineStr">
        <is>
          <t>Dùng để chọn loại gia cố sân cống hạ lưu</t>
        </is>
      </c>
    </row>
    <row r="20">
      <c r="A20" s="4" t="inlineStr">
        <is>
          <t>16</t>
        </is>
      </c>
      <c r="B20" s="5" t="inlineStr">
        <is>
          <t>KẾT LUẬN KIỂM TOÁN KHẢ NĂNG THOÁT NƯỚC CỦA CỐNG</t>
        </is>
      </c>
      <c r="C20" s="4" t="inlineStr">
        <is>
          <t>KL</t>
        </is>
      </c>
      <c r="D20" s="11">
        <f>IF(D17&gt;=D12,"ĐẠT (Q_cống &gt;= Q_p)","KHÔNG ĐẠT - CẦN TĂNG KHẨU ĐỘ D HOẶC SỐ CỬA n")</f>
        <v/>
      </c>
      <c r="E20" s="4" t="inlineStr">
        <is>
          <t>-</t>
        </is>
      </c>
      <c r="F20" s="5" t="inlineStr">
        <is>
          <t>So sánh Q_cống và Q_p</t>
        </is>
      </c>
    </row>
  </sheetData>
  <mergeCells count="2">
    <mergeCell ref="A3:F3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8" customWidth="1" min="1" max="1"/>
    <col width="42" customWidth="1" min="2" max="2"/>
    <col width="14" customWidth="1" min="3" max="3"/>
    <col width="16" customWidth="1" min="4" max="4"/>
    <col width="16" customWidth="1" min="5" max="5"/>
    <col width="28" customWidth="1" min="6" max="6"/>
  </cols>
  <sheetData>
    <row r="1">
      <c r="A1" s="1" t="inlineStr">
        <is>
          <t>BẢNG TÍNH THỦY LỰC RÃNH THOÁT NƯỚC DỌC HÌNH THANG / CHỮ NHẬT (CÔNG THỨC MANNING)</t>
        </is>
      </c>
    </row>
    <row r="3">
      <c r="A3" s="3" t="inlineStr">
        <is>
          <t>TT</t>
        </is>
      </c>
      <c r="B3" s="3" t="inlineStr">
        <is>
          <t>Thông số tính toán thủy văn - thủy lực</t>
        </is>
      </c>
      <c r="C3" s="3" t="inlineStr">
        <is>
          <t>Ký hiệu</t>
        </is>
      </c>
      <c r="D3" s="3" t="inlineStr">
        <is>
          <t>Giá trị</t>
        </is>
      </c>
      <c r="E3" s="3" t="inlineStr">
        <is>
          <t>Đơn vị</t>
        </is>
      </c>
      <c r="F3" s="3" t="inlineStr">
        <is>
          <t>Công thức / Tiêu chuẩn</t>
        </is>
      </c>
    </row>
    <row r="4">
      <c r="A4" s="4" t="inlineStr">
        <is>
          <t>1</t>
        </is>
      </c>
      <c r="B4" s="5" t="inlineStr">
        <is>
          <t>Bề rộng đáy rãnh thoát nước dọc (b)</t>
        </is>
      </c>
      <c r="C4" s="4" t="inlineStr">
        <is>
          <t>b</t>
        </is>
      </c>
      <c r="D4" s="6" t="n">
        <v>0.4</v>
      </c>
      <c r="E4" s="4" t="inlineStr">
        <is>
          <t>m</t>
        </is>
      </c>
      <c r="F4" s="5" t="inlineStr">
        <is>
          <t>Rãnh hình thang chuẩn b = 0.4m</t>
        </is>
      </c>
    </row>
    <row r="5">
      <c r="A5" s="4" t="inlineStr">
        <is>
          <t>2</t>
        </is>
      </c>
      <c r="B5" s="5" t="inlineStr">
        <is>
          <t>Chiều sâu nước chảy thiết kế trong rãnh (h)</t>
        </is>
      </c>
      <c r="C5" s="4" t="inlineStr">
        <is>
          <t>h</t>
        </is>
      </c>
      <c r="D5" s="6" t="n">
        <v>0.4</v>
      </c>
      <c r="E5" s="4" t="inlineStr">
        <is>
          <t>m</t>
        </is>
      </c>
      <c r="F5" s="5" t="inlineStr">
        <is>
          <t>Chiều sâu tổng H_rãnh = h + 0.15m dự phòng</t>
        </is>
      </c>
    </row>
    <row r="6">
      <c r="A6" s="4" t="inlineStr">
        <is>
          <t>3</t>
        </is>
      </c>
      <c r="B6" s="5" t="inlineStr">
        <is>
          <t>Hệ số mái dốc thành rãnh (m = cotg α)</t>
        </is>
      </c>
      <c r="C6" s="4" t="inlineStr">
        <is>
          <t>m</t>
        </is>
      </c>
      <c r="D6" s="6" t="n">
        <v>1</v>
      </c>
      <c r="E6" s="4" t="inlineStr">
        <is>
          <t>-</t>
        </is>
      </c>
      <c r="F6" s="5" t="inlineStr">
        <is>
          <t>Rãnh chữ nhật m = 0; Rãnh hình thang m = 1.0</t>
        </is>
      </c>
    </row>
    <row r="7">
      <c r="A7" s="4" t="inlineStr">
        <is>
          <t>4</t>
        </is>
      </c>
      <c r="B7" s="5" t="inlineStr">
        <is>
          <t>Độ dốc dọc đáy rãnh thiết kế (i_d)</t>
        </is>
      </c>
      <c r="C7" s="4" t="inlineStr">
        <is>
          <t>i_d</t>
        </is>
      </c>
      <c r="D7" s="8" t="n">
        <v>0.005</v>
      </c>
      <c r="E7" s="4" t="inlineStr">
        <is>
          <t>-</t>
        </is>
      </c>
      <c r="F7" s="5" t="inlineStr">
        <is>
          <t>Lấy theo độ dốc dọc đường (i_min &gt;= 0.003)</t>
        </is>
      </c>
    </row>
    <row r="8">
      <c r="A8" s="4" t="inlineStr">
        <is>
          <t>5</t>
        </is>
      </c>
      <c r="B8" s="5" t="inlineStr">
        <is>
          <t>Hệ số nhám lòng rãnh theo Manning (n)</t>
        </is>
      </c>
      <c r="C8" s="4" t="inlineStr">
        <is>
          <t>n</t>
        </is>
      </c>
      <c r="D8" s="8" t="n">
        <v>0.015</v>
      </c>
      <c r="E8" s="4" t="inlineStr">
        <is>
          <t>-</t>
        </is>
      </c>
      <c r="F8" s="5" t="inlineStr">
        <is>
          <t>Bê tông xi măng n = 0.014÷0.015; Đá xây 0.025</t>
        </is>
      </c>
    </row>
    <row r="9">
      <c r="A9" s="4" t="inlineStr">
        <is>
          <t>6</t>
        </is>
      </c>
      <c r="B9" s="5" t="inlineStr">
        <is>
          <t>Diện tích mặt cắt ướt của dòng chảy (ω)</t>
        </is>
      </c>
      <c r="C9" s="4" t="inlineStr">
        <is>
          <t>ω</t>
        </is>
      </c>
      <c r="D9" s="12">
        <f>D4*(D5+D6*D5)</f>
        <v/>
      </c>
      <c r="E9" s="4" t="inlineStr">
        <is>
          <t>m2</t>
        </is>
      </c>
      <c r="F9" s="5" t="inlineStr">
        <is>
          <t>ω = (b + m*h) * h</t>
        </is>
      </c>
    </row>
    <row r="10">
      <c r="A10" s="4" t="inlineStr">
        <is>
          <t>7</t>
        </is>
      </c>
      <c r="B10" s="5" t="inlineStr">
        <is>
          <t>Chu vi ướt của mặt cắt rãnh (χ)</t>
        </is>
      </c>
      <c r="C10" s="4" t="inlineStr">
        <is>
          <t>χ</t>
        </is>
      </c>
      <c r="D10" s="12">
        <f>D4+2*D5*SQRT(1+D6^2)</f>
        <v/>
      </c>
      <c r="E10" s="4" t="inlineStr">
        <is>
          <t>m</t>
        </is>
      </c>
      <c r="F10" s="5" t="inlineStr">
        <is>
          <t>χ = b + 2*h*sqrt(1 + m^2)</t>
        </is>
      </c>
    </row>
    <row r="11">
      <c r="A11" s="4" t="inlineStr">
        <is>
          <t>8</t>
        </is>
      </c>
      <c r="B11" s="5" t="inlineStr">
        <is>
          <t>Bán kính thủy lực của mặt cắt rãnh (R)</t>
        </is>
      </c>
      <c r="C11" s="4" t="inlineStr">
        <is>
          <t>R</t>
        </is>
      </c>
      <c r="D11" s="12">
        <f>D9/D10</f>
        <v/>
      </c>
      <c r="E11" s="4" t="inlineStr">
        <is>
          <t>m</t>
        </is>
      </c>
      <c r="F11" s="5" t="inlineStr">
        <is>
          <t>R = ω / χ</t>
        </is>
      </c>
    </row>
    <row r="12">
      <c r="A12" s="4" t="inlineStr">
        <is>
          <t>9</t>
        </is>
      </c>
      <c r="B12" s="5" t="inlineStr">
        <is>
          <t>Vận tốc dòng chảy trong rãnh theo Chezy-Manning (V)</t>
        </is>
      </c>
      <c r="C12" s="4" t="inlineStr">
        <is>
          <t>V</t>
        </is>
      </c>
      <c r="D12" s="9">
        <f>ROUND((1/D8)*(D11^(2/3))*SQRT(D7),2)</f>
        <v/>
      </c>
      <c r="E12" s="4" t="inlineStr">
        <is>
          <t>m/s</t>
        </is>
      </c>
      <c r="F12" s="5" t="inlineStr">
        <is>
          <t>V = (1/n) * R^(2/3) * i^(1/2)</t>
        </is>
      </c>
    </row>
    <row r="13">
      <c r="A13" s="4" t="inlineStr">
        <is>
          <t>10</t>
        </is>
      </c>
      <c r="B13" s="5" t="inlineStr">
        <is>
          <t>KHẢ NĂNG THOÁT NƯỚC CỦA RÃNH DỌC (Q_rãnh)</t>
        </is>
      </c>
      <c r="C13" s="4" t="inlineStr">
        <is>
          <t>Q_rãnh</t>
        </is>
      </c>
      <c r="D13" s="12">
        <f>ROUND(D9*D12,3)</f>
        <v/>
      </c>
      <c r="E13" s="4" t="inlineStr">
        <is>
          <t>m3/s</t>
        </is>
      </c>
      <c r="F13" s="5" t="inlineStr">
        <is>
          <t>Q_rãnh = ω * V</t>
        </is>
      </c>
    </row>
    <row r="14">
      <c r="A14" s="4" t="inlineStr">
        <is>
          <t>11</t>
        </is>
      </c>
      <c r="B14" s="5" t="inlineStr">
        <is>
          <t>Kiểm tra điều kiện không lắng đọng và không xói lở</t>
        </is>
      </c>
      <c r="C14" s="4" t="inlineStr">
        <is>
          <t>KL</t>
        </is>
      </c>
      <c r="D14" s="11">
        <f>IF(AND(D12&gt;=0.5,D12&lt;=4.0),"ĐẠT (0.5 &lt;= V &lt;= 4.0 m/s)","CẦN ĐIỀU CHỈNH ĐỘ DỐC HOẶC GIA CỐ")</f>
        <v/>
      </c>
      <c r="E14" s="4" t="inlineStr">
        <is>
          <t>-</t>
        </is>
      </c>
      <c r="F14" s="5" t="inlineStr">
        <is>
          <t>V_không_lắng &gt;= 0.5 m/s; V_không_xói BTXM &lt;= 4.0 m/s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2026-10-21T01:12:23Z</dcterms:created>
  <dcterms:modified xmlns:dcterms="http://purl.org/dc/terms/" xmlns:xsi="http://www.w3.org/2001/XMLSchema-instance" xsi:type="dcterms:W3CDTF">2026-10-21T01:12:23Z</dcterms:modified>
</cp:coreProperties>
</file>
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CT_Coc_Theo_SPT_Meyeh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#,##0.0"/>
  </numFmts>
  <fonts count="7">
    <font>
      <name val="Calibri"/>
      <family val="2"/>
      <color theme="1"/>
      <sz val="11"/>
      <scheme val="minor"/>
    </font>
    <font>
      <name val="Times New Roman"/>
      <b val="1"/>
      <color rgb="00003366"/>
      <sz val="14"/>
    </font>
    <font>
      <name val="Times New Roman"/>
      <b val="1"/>
      <color rgb="00FFFFFF"/>
      <sz val="12"/>
    </font>
    <font>
      <name val="Times New Roman"/>
      <b val="1"/>
      <color rgb="000000CC"/>
      <sz val="11"/>
    </font>
    <font>
      <name val="Times New Roman"/>
      <b val="1"/>
      <color rgb="00990000"/>
      <sz val="11"/>
    </font>
    <font>
      <name val="Times New Roman"/>
      <b val="1"/>
      <color rgb="00003366"/>
      <sz val="11"/>
    </font>
    <font>
      <name val="Times New Roman"/>
      <b val="1"/>
      <sz val="11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" fontId="3" fillId="3" borderId="1" applyAlignment="1" pivotButton="0" quotePrefix="0" xfId="0">
      <alignment horizontal="right" vertical="center" wrapText="1"/>
    </xf>
    <xf numFmtId="0" fontId="0" fillId="0" borderId="1" pivotButton="0" quotePrefix="0" xfId="0"/>
    <xf numFmtId="2" fontId="3" fillId="3" borderId="1" applyAlignment="1" pivotButton="0" quotePrefix="0" xfId="0">
      <alignment horizontal="right" vertical="center" wrapText="1"/>
    </xf>
    <xf numFmtId="164" fontId="3" fillId="3" borderId="1" applyAlignment="1" pivotButton="0" quotePrefix="0" xfId="0">
      <alignment horizontal="right" vertical="center" wrapText="1"/>
    </xf>
    <xf numFmtId="165" fontId="4" fillId="4" borderId="1" applyAlignment="1" pivotButton="0" quotePrefix="0" xfId="0">
      <alignment horizontal="right" vertical="center" wrapText="1"/>
    </xf>
    <xf numFmtId="3" fontId="4" fillId="4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center" vertical="center" wrapText="1"/>
    </xf>
    <xf numFmtId="1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center" wrapText="1"/>
    </xf>
    <xf numFmtId="166" fontId="4" fillId="4" borderId="1" applyAlignment="1" pivotButton="0" quotePrefix="0" xfId="0">
      <alignment horizontal="right" vertical="center" wrapText="1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4" customWidth="1" min="3" max="3"/>
    <col width="14" customWidth="1" min="4" max="4"/>
    <col width="16" customWidth="1" min="5" max="5"/>
    <col width="16" customWidth="1" min="6" max="6"/>
    <col width="24" customWidth="1" min="7" max="7"/>
  </cols>
  <sheetData>
    <row r="1">
      <c r="A1" s="1" t="inlineStr">
        <is>
          <t>BẢNG TÍNH SỨC CHỊU TẢI DỌC TRỤC CỦA CỌC THEO CHỈ SỐ SPT (TCVN 11823:2017 &amp; TCVN 10304:2014)</t>
        </is>
      </c>
    </row>
    <row r="3">
      <c r="A3" s="2" t="inlineStr">
        <is>
          <t>I. THÔNG SỐ HÌNH HỌC VÀ VẬT LIỆU CỌC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1</t>
        </is>
      </c>
      <c r="B4" s="4" t="inlineStr">
        <is>
          <t>Loại cọc sử dụng (1 = Cọc đóng/ép PHC; 2 = Cọc khoan nhồi)</t>
        </is>
      </c>
      <c r="C4" s="3" t="inlineStr">
        <is>
          <t>Loại_cọc</t>
        </is>
      </c>
      <c r="D4" s="5" t="n">
        <v>2</v>
      </c>
      <c r="E4" s="3" t="inlineStr">
        <is>
          <t>-</t>
        </is>
      </c>
      <c r="F4" s="4" t="inlineStr">
        <is>
          <t>Nhập 1 hoặc 2</t>
        </is>
      </c>
      <c r="G4" s="6" t="n"/>
    </row>
    <row r="5">
      <c r="A5" s="3" t="inlineStr">
        <is>
          <t>2</t>
        </is>
      </c>
      <c r="B5" s="4" t="inlineStr">
        <is>
          <t>Đường kính ngoài của cọc (D)</t>
        </is>
      </c>
      <c r="C5" s="3" t="inlineStr">
        <is>
          <t>D</t>
        </is>
      </c>
      <c r="D5" s="7" t="n">
        <v>1.2</v>
      </c>
      <c r="E5" s="3" t="inlineStr">
        <is>
          <t>m</t>
        </is>
      </c>
      <c r="F5" s="4" t="inlineStr">
        <is>
          <t>Cọc khoan nhồi D1000, D1200, D1500...</t>
        </is>
      </c>
      <c r="G5" s="6" t="n"/>
    </row>
    <row r="6">
      <c r="A6" s="3" t="inlineStr">
        <is>
          <t>3</t>
        </is>
      </c>
      <c r="B6" s="4" t="inlineStr">
        <is>
          <t>Đường kính lỗ rỗng trong (d = 0 nếu là cọc đặc / khoan nhồi)</t>
        </is>
      </c>
      <c r="C6" s="3" t="inlineStr">
        <is>
          <t>d</t>
        </is>
      </c>
      <c r="D6" s="7" t="n">
        <v>0</v>
      </c>
      <c r="E6" s="3" t="inlineStr">
        <is>
          <t>m</t>
        </is>
      </c>
      <c r="F6" s="4" t="inlineStr">
        <is>
          <t>Nếu cọc ống PHC nhập đường kính trong</t>
        </is>
      </c>
      <c r="G6" s="6" t="n"/>
    </row>
    <row r="7">
      <c r="A7" s="3" t="inlineStr">
        <is>
          <t>4</t>
        </is>
      </c>
      <c r="B7" s="4" t="inlineStr">
        <is>
          <t>Chiều dài tính toán của cọc trong đất (L_cọc)</t>
        </is>
      </c>
      <c r="C7" s="3" t="inlineStr">
        <is>
          <t>L_cọc</t>
        </is>
      </c>
      <c r="D7" s="8" t="n">
        <v>32</v>
      </c>
      <c r="E7" s="3" t="inlineStr">
        <is>
          <t>m</t>
        </is>
      </c>
      <c r="F7" s="4" t="inlineStr">
        <is>
          <t>Từ đáy đài cọc đến mũi cọc</t>
        </is>
      </c>
      <c r="G7" s="6" t="n"/>
    </row>
    <row r="8">
      <c r="A8" s="3" t="inlineStr">
        <is>
          <t>5</t>
        </is>
      </c>
      <c r="B8" s="4" t="inlineStr">
        <is>
          <t>Cấp độ bền chịu nén của bê tông cọc (f'_c)</t>
        </is>
      </c>
      <c r="C8" s="3" t="inlineStr">
        <is>
          <t>f'_c</t>
        </is>
      </c>
      <c r="D8" s="8" t="n">
        <v>30</v>
      </c>
      <c r="E8" s="3" t="inlineStr">
        <is>
          <t>MPa</t>
        </is>
      </c>
      <c r="F8" s="4" t="inlineStr">
        <is>
          <t>C30 (30 MPa) cho cọc nhồi; C80 cho PHC</t>
        </is>
      </c>
      <c r="G8" s="6" t="n"/>
    </row>
    <row r="9">
      <c r="A9" s="3" t="inlineStr">
        <is>
          <t>6</t>
        </is>
      </c>
      <c r="B9" s="4" t="inlineStr">
        <is>
          <t>Chỉ số SPT trung bình tại vùng mũi cọc (N_mũi &lt;= 50)</t>
        </is>
      </c>
      <c r="C9" s="3" t="inlineStr">
        <is>
          <t>N_mũi</t>
        </is>
      </c>
      <c r="D9" s="5" t="n">
        <v>42</v>
      </c>
      <c r="E9" s="3" t="inlineStr">
        <is>
          <t>búa</t>
        </is>
      </c>
      <c r="F9" s="4" t="inlineStr">
        <is>
          <t>Trung bình trong phạm vi 1D dưới &amp; 3D trên mũi</t>
        </is>
      </c>
      <c r="G9" s="6" t="n"/>
    </row>
    <row r="10">
      <c r="A10" s="3" t="inlineStr">
        <is>
          <t>7</t>
        </is>
      </c>
      <c r="B10" s="4" t="inlineStr">
        <is>
          <t>Hệ số sức kháng mũi cọc và ma sát thành (φ_q theo TCVN 11823)</t>
        </is>
      </c>
      <c r="C10" s="3" t="inlineStr">
        <is>
          <t>φ_q</t>
        </is>
      </c>
      <c r="D10" s="7" t="n">
        <v>0.5</v>
      </c>
      <c r="E10" s="3" t="inlineStr">
        <is>
          <t>-</t>
        </is>
      </c>
      <c r="F10" s="4" t="inlineStr">
        <is>
          <t>Trạng thái giới hạn Cường độ I (0.45 ÷ 0.55)</t>
        </is>
      </c>
      <c r="G10" s="6" t="n"/>
    </row>
    <row r="11">
      <c r="A11" s="3" t="inlineStr">
        <is>
          <t>8</t>
        </is>
      </c>
      <c r="B11" s="4" t="inlineStr">
        <is>
          <t>Diện tích tiết diện mũi cọc đặc (A_p)</t>
        </is>
      </c>
      <c r="C11" s="3" t="inlineStr">
        <is>
          <t>A_p</t>
        </is>
      </c>
      <c r="D11" s="9">
        <f>3.14159*D5^2/4</f>
        <v/>
      </c>
      <c r="E11" s="3" t="inlineStr">
        <is>
          <t>m2</t>
        </is>
      </c>
      <c r="F11" s="4" t="inlineStr">
        <is>
          <t>A_p = π * D^2 / 4</t>
        </is>
      </c>
      <c r="G11" s="6" t="n"/>
    </row>
    <row r="12">
      <c r="A12" s="3" t="inlineStr">
        <is>
          <t>9</t>
        </is>
      </c>
      <c r="B12" s="4" t="inlineStr">
        <is>
          <t>Chu vi mặt cắt ngang thân cọc (u)</t>
        </is>
      </c>
      <c r="C12" s="3" t="inlineStr">
        <is>
          <t>u</t>
        </is>
      </c>
      <c r="D12" s="9">
        <f>3.14159*D5</f>
        <v/>
      </c>
      <c r="E12" s="3" t="inlineStr">
        <is>
          <t>m</t>
        </is>
      </c>
      <c r="F12" s="4" t="inlineStr">
        <is>
          <t>u = π * D</t>
        </is>
      </c>
      <c r="G12" s="6" t="n"/>
    </row>
    <row r="13">
      <c r="A13" s="3" t="inlineStr">
        <is>
          <t>10</t>
        </is>
      </c>
      <c r="B13" s="4" t="inlineStr">
        <is>
          <t>Sức chịu tải cực hạn theo vật liệu bê tông cọc (R_vl)</t>
        </is>
      </c>
      <c r="C13" s="3" t="inlineStr">
        <is>
          <t>R_vl</t>
        </is>
      </c>
      <c r="D13" s="10">
        <f>ROUND(0.85*D8*1000*(D11-3.14159*D6^2/4),0)</f>
        <v/>
      </c>
      <c r="E13" s="3" t="inlineStr">
        <is>
          <t>kN</t>
        </is>
      </c>
      <c r="F13" s="4" t="inlineStr">
        <is>
          <t>Kiểm tra điều kiện cường độ vật liệu</t>
        </is>
      </c>
      <c r="G13" s="6" t="n"/>
    </row>
    <row r="15">
      <c r="A15" s="2" t="inlineStr">
        <is>
          <t>II. BẢNG TÍNH MA SÁT THÀNH CỌC QUA CÁC LỚP ĐỊA CHẤT (THEO CHỈ SỐ SPT)</t>
        </is>
      </c>
      <c r="B15" s="2" t="n"/>
      <c r="C15" s="2" t="n"/>
      <c r="D15" s="2" t="n"/>
      <c r="E15" s="2" t="n"/>
      <c r="F15" s="2" t="n"/>
      <c r="G15" s="2" t="n"/>
    </row>
    <row r="16">
      <c r="A16" s="11" t="inlineStr">
        <is>
          <t>Lớp</t>
        </is>
      </c>
      <c r="B16" s="11" t="inlineStr">
        <is>
          <t>Mô tả tên lớp đất địa chất</t>
        </is>
      </c>
      <c r="C16" s="11" t="inlineStr">
        <is>
          <t>Loại đất (1=Rời, 2=Dính)</t>
        </is>
      </c>
      <c r="D16" s="11" t="inlineStr">
        <is>
          <t>Chiều dày l_i (m)</t>
        </is>
      </c>
      <c r="E16" s="11" t="inlineStr">
        <is>
          <t>SPT trung bình N_i</t>
        </is>
      </c>
      <c r="F16" s="11" t="inlineStr">
        <is>
          <t>Ma sát đơn vị f_si (kPa)</t>
        </is>
      </c>
      <c r="G16" s="11" t="inlineStr">
        <is>
          <t>Sức kháng thành R_si (kN)</t>
        </is>
      </c>
    </row>
    <row r="17">
      <c r="A17" s="3" t="inlineStr">
        <is>
          <t>Lớp 1</t>
        </is>
      </c>
      <c r="B17" s="4" t="inlineStr">
        <is>
          <t>Bùn sét pha màu xám đen, trạng thái chảy</t>
        </is>
      </c>
      <c r="C17" s="12" t="n">
        <v>2</v>
      </c>
      <c r="D17" s="13" t="n">
        <v>6</v>
      </c>
      <c r="E17" s="12" t="n">
        <v>3</v>
      </c>
      <c r="F17" s="14">
        <f>ROUND(IF(C17=1, IF($D$4=1, MIN(2*E17,100), MIN(1.2*E17,100)), MIN(3.3*E17,150)),1)</f>
        <v/>
      </c>
      <c r="G17" s="15">
        <f>ROUND($D$12*D17*F17,1)</f>
        <v/>
      </c>
    </row>
    <row r="18">
      <c r="A18" s="3" t="inlineStr">
        <is>
          <t>Lớp 2</t>
        </is>
      </c>
      <c r="B18" s="4" t="inlineStr">
        <is>
          <t>Sét pha màu xám vàng, trạng thái dẻo mềm</t>
        </is>
      </c>
      <c r="C18" s="12" t="n">
        <v>2</v>
      </c>
      <c r="D18" s="13" t="n">
        <v>8</v>
      </c>
      <c r="E18" s="12" t="n">
        <v>9</v>
      </c>
      <c r="F18" s="14">
        <f>ROUND(IF(C18=1, IF($D$4=1, MIN(2*E18,100), MIN(1.2*E18,100)), MIN(3.3*E18,150)),1)</f>
        <v/>
      </c>
      <c r="G18" s="15">
        <f>ROUND($D$12*D18*F18,1)</f>
        <v/>
      </c>
    </row>
    <row r="19">
      <c r="A19" s="3" t="inlineStr">
        <is>
          <t>Lớp 3</t>
        </is>
      </c>
      <c r="B19" s="4" t="inlineStr">
        <is>
          <t>Cát hạt trung màu xám trắng, kết cấu chặt vừa</t>
        </is>
      </c>
      <c r="C19" s="12" t="n">
        <v>1</v>
      </c>
      <c r="D19" s="13" t="n">
        <v>7</v>
      </c>
      <c r="E19" s="12" t="n">
        <v>18</v>
      </c>
      <c r="F19" s="14">
        <f>ROUND(IF(C19=1, IF($D$4=1, MIN(2*E19,100), MIN(1.2*E19,100)), MIN(3.3*E19,150)),1)</f>
        <v/>
      </c>
      <c r="G19" s="15">
        <f>ROUND($D$12*D19*F19,1)</f>
        <v/>
      </c>
    </row>
    <row r="20">
      <c r="A20" s="3" t="inlineStr">
        <is>
          <t>Lớp 4</t>
        </is>
      </c>
      <c r="B20" s="4" t="inlineStr">
        <is>
          <t>Sét pha lẫn sạn sỏi, trạng thái nửa cứng</t>
        </is>
      </c>
      <c r="C20" s="12" t="n">
        <v>2</v>
      </c>
      <c r="D20" s="13" t="n">
        <v>6</v>
      </c>
      <c r="E20" s="12" t="n">
        <v>26</v>
      </c>
      <c r="F20" s="14">
        <f>ROUND(IF(C20=1, IF($D$4=1, MIN(2*E20,100), MIN(1.2*E20,100)), MIN(3.3*E20,150)),1)</f>
        <v/>
      </c>
      <c r="G20" s="15">
        <f>ROUND($D$12*D20*F20,1)</f>
        <v/>
      </c>
    </row>
    <row r="21">
      <c r="A21" s="3" t="inlineStr">
        <is>
          <t>Lớp 5</t>
        </is>
      </c>
      <c r="B21" s="4" t="inlineStr">
        <is>
          <t>Cát hạt thô lẫn cuội sỏi, trạng thái chặt</t>
        </is>
      </c>
      <c r="C21" s="12" t="n">
        <v>1</v>
      </c>
      <c r="D21" s="13" t="n">
        <v>5</v>
      </c>
      <c r="E21" s="12" t="n">
        <v>42</v>
      </c>
      <c r="F21" s="14">
        <f>ROUND(IF(C21=1, IF($D$4=1, MIN(2*E21,100), MIN(1.2*E21,100)), MIN(3.3*E21,150)),1)</f>
        <v/>
      </c>
      <c r="G21" s="15">
        <f>ROUND($D$12*D21*F21,1)</f>
        <v/>
      </c>
    </row>
    <row r="22">
      <c r="A22" s="16" t="inlineStr">
        <is>
          <t>TỔNG SỨC KHÁNG MA SÁT THÀNH CỌC TIÊU CHUẨN (R_s = ∑R_si)</t>
        </is>
      </c>
      <c r="B22" s="6" t="n"/>
      <c r="C22" s="6" t="n"/>
      <c r="D22" s="6" t="n"/>
      <c r="E22" s="6" t="n"/>
      <c r="F22" s="3" t="inlineStr">
        <is>
          <t>kN</t>
        </is>
      </c>
      <c r="G22" s="10">
        <f>SUM(G17:G21)</f>
        <v/>
      </c>
    </row>
    <row r="23">
      <c r="A23" s="16" t="inlineStr">
        <is>
          <t>Cường độ sức kháng mũi đơn vị tiêu chuẩn (q_p theo SPT)</t>
        </is>
      </c>
      <c r="B23" s="6" t="n"/>
      <c r="C23" s="6" t="n"/>
      <c r="D23" s="6" t="n"/>
      <c r="E23" s="6" t="n"/>
      <c r="F23" s="3" t="inlineStr">
        <is>
          <t>kPa</t>
        </is>
      </c>
      <c r="G23" s="10">
        <f>IF(D4=1, MIN(300*D9,15000), MIN(120*D9,9000))</f>
        <v/>
      </c>
    </row>
    <row r="24">
      <c r="A24" s="16" t="inlineStr">
        <is>
          <t>SỨC KHÁNG MŨI CỌC TIÊU CHUẨN (R_p = q_p * A_p)</t>
        </is>
      </c>
      <c r="B24" s="6" t="n"/>
      <c r="C24" s="6" t="n"/>
      <c r="D24" s="6" t="n"/>
      <c r="E24" s="6" t="n"/>
      <c r="F24" s="3" t="inlineStr">
        <is>
          <t>kN</t>
        </is>
      </c>
      <c r="G24" s="10">
        <f>ROUND(G23*D11,1)</f>
        <v/>
      </c>
    </row>
    <row r="25">
      <c r="A25" s="16" t="inlineStr">
        <is>
          <t>TỔNG SỨC CHỊU TẢI CỰC HẠN ĐẤT NỀN CỦA 1 CỌC (R_n = R_s + R_p)</t>
        </is>
      </c>
      <c r="B25" s="6" t="n"/>
      <c r="C25" s="6" t="n"/>
      <c r="D25" s="6" t="n"/>
      <c r="E25" s="6" t="n"/>
      <c r="F25" s="3" t="inlineStr">
        <is>
          <t>kN</t>
        </is>
      </c>
      <c r="G25" s="10">
        <f>ROUND(G22+G24,0)</f>
        <v/>
      </c>
    </row>
    <row r="26">
      <c r="A26" s="16" t="inlineStr">
        <is>
          <t>SỨC CHỊU TẢI TÍNH TOÁN ĐẤT NỀN ĐÃ NHÂN HỆ SỐ SỨC KHÁNG (R_r = φ_q * R_n)</t>
        </is>
      </c>
      <c r="B26" s="6" t="n"/>
      <c r="C26" s="6" t="n"/>
      <c r="D26" s="6" t="n"/>
      <c r="E26" s="6" t="n"/>
      <c r="F26" s="3" t="inlineStr">
        <is>
          <t>kN</t>
        </is>
      </c>
      <c r="G26" s="10">
        <f>ROUND(D10*G25,0)</f>
        <v/>
      </c>
    </row>
  </sheetData>
  <mergeCells count="18">
    <mergeCell ref="F4:G4"/>
    <mergeCell ref="F11:G11"/>
    <mergeCell ref="F12:G12"/>
    <mergeCell ref="A1:G1"/>
    <mergeCell ref="A26:E26"/>
    <mergeCell ref="A24:E24"/>
    <mergeCell ref="F10:G10"/>
    <mergeCell ref="A3:G3"/>
    <mergeCell ref="A25:E25"/>
    <mergeCell ref="F5:G5"/>
    <mergeCell ref="F6:G6"/>
    <mergeCell ref="A23:E23"/>
    <mergeCell ref="A15:G15"/>
    <mergeCell ref="F13:G13"/>
    <mergeCell ref="A22:E22"/>
    <mergeCell ref="F9:G9"/>
    <mergeCell ref="F7:G7"/>
    <mergeCell ref="F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2026-10-21T01:12:23Z</dcterms:created>
  <dcterms:modified xmlns:dcterms="http://purl.org/dc/terms/" xmlns:xsi="http://www.w3.org/2001/XMLSchema-instance" xsi:type="dcterms:W3CDTF">2026-10-21T01:12:23Z</dcterms:modified>
</cp:coreProperties>
</file>
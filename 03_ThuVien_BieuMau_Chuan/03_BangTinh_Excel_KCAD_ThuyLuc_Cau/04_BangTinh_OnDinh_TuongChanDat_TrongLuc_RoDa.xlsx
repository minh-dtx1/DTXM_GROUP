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uongChan_TrongLuc_Coulo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FFFFFF"/>
      <sz val="12"/>
    </font>
    <font>
      <name val="Times New Roman"/>
      <b val="1"/>
      <color rgb="00003366"/>
      <sz val="11"/>
    </font>
    <font>
      <name val="Times New Roman"/>
      <b val="1"/>
      <color rgb="000000CC"/>
      <sz val="11"/>
    </font>
    <font>
      <name val="Times New Roman"/>
      <b val="1"/>
      <color rgb="00990000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164" fontId="5" fillId="5" borderId="1" applyAlignment="1" pivotButton="0" quotePrefix="0" xfId="0">
      <alignment horizontal="right" vertical="center" wrapText="1"/>
    </xf>
    <xf numFmtId="2" fontId="5" fillId="5" borderId="1" applyAlignment="1" pivotButton="0" quotePrefix="0" xfId="0">
      <alignment horizontal="right" vertical="center" wrapText="1"/>
    </xf>
    <xf numFmtId="49" fontId="5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BẢNG TÍNH KIỂM TOÁN ỔN ĐỊNH TƯỜNG CHẮN ĐẤT TRỌNG LỰC (TRƯỢT - LẬT - ỨNG SUẤT ĐÁY MÓNG)</t>
        </is>
      </c>
    </row>
    <row r="3">
      <c r="A3" s="2" t="inlineStr">
        <is>
          <t>I. KÍCH THƯỚC HÌNH HỌC TƯỜNG CHẮN VÀ ĐẶC TRƯNG ĐẤT ĐẮP SAU LƯNG TƯỜNG</t>
        </is>
      </c>
      <c r="B3" s="2" t="n"/>
      <c r="C3" s="2" t="n"/>
      <c r="D3" s="2" t="n"/>
      <c r="E3" s="2" t="n"/>
      <c r="F3" s="2" t="n"/>
    </row>
    <row r="4">
      <c r="A4" s="3" t="inlineStr">
        <is>
          <t>TT</t>
        </is>
      </c>
      <c r="B4" s="3" t="inlineStr">
        <is>
          <t>Thông số thiết kế tường chắn đất</t>
        </is>
      </c>
      <c r="C4" s="3" t="inlineStr">
        <is>
          <t>Ký hiệu</t>
        </is>
      </c>
      <c r="D4" s="3" t="inlineStr">
        <is>
          <t>Giá trị</t>
        </is>
      </c>
      <c r="E4" s="3" t="inlineStr">
        <is>
          <t>Đơn vị</t>
        </is>
      </c>
      <c r="F4" s="3" t="inlineStr">
        <is>
          <t>Ghi chú / Công thức</t>
        </is>
      </c>
    </row>
    <row r="5">
      <c r="A5" s="4" t="inlineStr">
        <is>
          <t>1</t>
        </is>
      </c>
      <c r="B5" s="5" t="inlineStr">
        <is>
          <t>Chiều cao toàn bộ tường chắn (H)</t>
        </is>
      </c>
      <c r="C5" s="4" t="inlineStr">
        <is>
          <t>H</t>
        </is>
      </c>
      <c r="D5" s="6" t="n">
        <v>4</v>
      </c>
      <c r="E5" s="4" t="inlineStr">
        <is>
          <t>m</t>
        </is>
      </c>
      <c r="F5" s="5" t="inlineStr">
        <is>
          <t>Từ đáy móng đến đỉnh tường</t>
        </is>
      </c>
    </row>
    <row r="6">
      <c r="A6" s="4" t="inlineStr">
        <is>
          <t>2</t>
        </is>
      </c>
      <c r="B6" s="5" t="inlineStr">
        <is>
          <t>Bề rộng đỉnh tường chắn (b_1)</t>
        </is>
      </c>
      <c r="C6" s="4" t="inlineStr">
        <is>
          <t>b_1</t>
        </is>
      </c>
      <c r="D6" s="6" t="n">
        <v>0.6</v>
      </c>
      <c r="E6" s="4" t="inlineStr">
        <is>
          <t>m</t>
        </is>
      </c>
      <c r="F6" s="5" t="inlineStr">
        <is>
          <t>Tường BTXM b1 &gt;= 0.4m; Rọ đá b1 &gt;= 1.0m</t>
        </is>
      </c>
    </row>
    <row r="7">
      <c r="A7" s="4" t="inlineStr">
        <is>
          <t>3</t>
        </is>
      </c>
      <c r="B7" s="5" t="inlineStr">
        <is>
          <t>Bề rộng đáy móng tường chắn (B)</t>
        </is>
      </c>
      <c r="C7" s="4" t="inlineStr">
        <is>
          <t>B</t>
        </is>
      </c>
      <c r="D7" s="6" t="n">
        <v>2.4</v>
      </c>
      <c r="E7" s="4" t="inlineStr">
        <is>
          <t>m</t>
        </is>
      </c>
      <c r="F7" s="5" t="inlineStr">
        <is>
          <t>Sơ bộ chọn B = (0.5 ÷ 0.7) * H</t>
        </is>
      </c>
    </row>
    <row r="8">
      <c r="A8" s="4" t="inlineStr">
        <is>
          <t>4</t>
        </is>
      </c>
      <c r="B8" s="5" t="inlineStr">
        <is>
          <t>Trọng lượng riêng vật liệu thân tường chắn (γ_t)</t>
        </is>
      </c>
      <c r="C8" s="4" t="inlineStr">
        <is>
          <t>γ_t</t>
        </is>
      </c>
      <c r="D8" s="7" t="n">
        <v>24</v>
      </c>
      <c r="E8" s="4" t="inlineStr">
        <is>
          <t>kN/m3</t>
        </is>
      </c>
      <c r="F8" s="5" t="inlineStr">
        <is>
          <t>BTXM = 24; Đá hộc xây = 22; Rọ đá = 17.5</t>
        </is>
      </c>
    </row>
    <row r="9">
      <c r="A9" s="4" t="inlineStr">
        <is>
          <t>5</t>
        </is>
      </c>
      <c r="B9" s="5" t="inlineStr">
        <is>
          <t>Trọng lượng riêng đất đắp sau lưng tường (γ_đ)</t>
        </is>
      </c>
      <c r="C9" s="4" t="inlineStr">
        <is>
          <t>γ_đ</t>
        </is>
      </c>
      <c r="D9" s="7" t="n">
        <v>18.5</v>
      </c>
      <c r="E9" s="4" t="inlineStr">
        <is>
          <t>kN/m3</t>
        </is>
      </c>
      <c r="F9" s="5" t="inlineStr">
        <is>
          <t>Đất đắp chọn lọc thoát nước tốt</t>
        </is>
      </c>
    </row>
    <row r="10">
      <c r="A10" s="4" t="inlineStr">
        <is>
          <t>6</t>
        </is>
      </c>
      <c r="B10" s="5" t="inlineStr">
        <is>
          <t>Góc nội ma sát của đất đắp sau lưng tường (φ)</t>
        </is>
      </c>
      <c r="C10" s="4" t="inlineStr">
        <is>
          <t>φ</t>
        </is>
      </c>
      <c r="D10" s="7" t="n">
        <v>30</v>
      </c>
      <c r="E10" s="4" t="inlineStr">
        <is>
          <t>độ</t>
        </is>
      </c>
      <c r="F10" s="5" t="inlineStr">
        <is>
          <t>Đất rời / Á cát đầm chặt φ = 28 ÷ 35 độ</t>
        </is>
      </c>
    </row>
    <row r="11">
      <c r="A11" s="4" t="inlineStr">
        <is>
          <t>7</t>
        </is>
      </c>
      <c r="B11" s="5" t="inlineStr">
        <is>
          <t>Hoạt tải quy đổi thành chiều cao lớp đất tương đương (q_0)</t>
        </is>
      </c>
      <c r="C11" s="4" t="inlineStr">
        <is>
          <t>q_0</t>
        </is>
      </c>
      <c r="D11" s="7" t="n">
        <v>12</v>
      </c>
      <c r="E11" s="4" t="inlineStr">
        <is>
          <t>kPa</t>
        </is>
      </c>
      <c r="F11" s="5" t="inlineStr">
        <is>
          <t>Hoạt tải xe HL93 sau mố/tường chắn (~ 12 kPa)</t>
        </is>
      </c>
    </row>
    <row r="12">
      <c r="A12" s="4" t="inlineStr">
        <is>
          <t>8</t>
        </is>
      </c>
      <c r="B12" s="5" t="inlineStr">
        <is>
          <t>Hệ số ma sát giữa đáy móng tường và đất nền (μ = tan δ_đáy)</t>
        </is>
      </c>
      <c r="C12" s="4" t="inlineStr">
        <is>
          <t>μ</t>
        </is>
      </c>
      <c r="D12" s="6" t="n">
        <v>0.5</v>
      </c>
      <c r="E12" s="4" t="inlineStr">
        <is>
          <t>-</t>
        </is>
      </c>
      <c r="F12" s="5" t="inlineStr">
        <is>
          <t>Đáy bê tông trên cát/sét cứng μ = 0.45 ÷ 0.55</t>
        </is>
      </c>
    </row>
    <row r="13">
      <c r="A13" s="4" t="inlineStr">
        <is>
          <t>9</t>
        </is>
      </c>
      <c r="B13" s="5" t="inlineStr">
        <is>
          <t>Cường độ chịu tải cho phép của đất nền dưới đáy móng (R_tc)</t>
        </is>
      </c>
      <c r="C13" s="4" t="inlineStr">
        <is>
          <t>R_tc</t>
        </is>
      </c>
      <c r="D13" s="7" t="n">
        <v>220</v>
      </c>
      <c r="E13" s="4" t="inlineStr">
        <is>
          <t>kPa</t>
        </is>
      </c>
      <c r="F13" s="5" t="inlineStr">
        <is>
          <t>Theo hồ sơ khảo sát địa chất tại cao độ đáy móng</t>
        </is>
      </c>
    </row>
    <row r="14">
      <c r="A14" s="4" t="inlineStr">
        <is>
          <t>10</t>
        </is>
      </c>
      <c r="B14" s="5" t="inlineStr">
        <is>
          <t>Hệ số áp lực đất chủ động Rankine (K_a = tan^2(45 - φ/2))</t>
        </is>
      </c>
      <c r="C14" s="4" t="inlineStr">
        <is>
          <t>K_a</t>
        </is>
      </c>
      <c r="D14" s="8">
        <f>ROUND(TAN(RADIANS(45-D10/2))^2,3)</f>
        <v/>
      </c>
      <c r="E14" s="4" t="inlineStr">
        <is>
          <t>-</t>
        </is>
      </c>
      <c r="F14" s="5" t="inlineStr">
        <is>
          <t>Công thức Rankine với lưng tường thẳng đứng</t>
        </is>
      </c>
    </row>
    <row r="15">
      <c r="A15" s="4" t="inlineStr">
        <is>
          <t>11</t>
        </is>
      </c>
      <c r="B15" s="5" t="inlineStr">
        <is>
          <t>Trọng lượng bản thân tường chắn trên 1m dài (G_t)</t>
        </is>
      </c>
      <c r="C15" s="4" t="inlineStr">
        <is>
          <t>G_t</t>
        </is>
      </c>
      <c r="D15" s="9">
        <f>ROUND(0.5*(D6+D7)*D5*D8,1)</f>
        <v/>
      </c>
      <c r="E15" s="4" t="inlineStr">
        <is>
          <t>kN/m</t>
        </is>
      </c>
      <c r="F15" s="5" t="inlineStr">
        <is>
          <t>G_t = 0.5 * (b_1 + B) * H * γ_t</t>
        </is>
      </c>
    </row>
    <row r="16">
      <c r="A16" s="4" t="inlineStr">
        <is>
          <t>12</t>
        </is>
      </c>
      <c r="B16" s="5" t="inlineStr">
        <is>
          <t>Áp lực đất chủ động nằm ngang do trọng lượng đất (E_a1)</t>
        </is>
      </c>
      <c r="C16" s="4" t="inlineStr">
        <is>
          <t>E_a1</t>
        </is>
      </c>
      <c r="D16" s="9">
        <f>ROUND(0.5*D9*D5^2*D14,1)</f>
        <v/>
      </c>
      <c r="E16" s="4" t="inlineStr">
        <is>
          <t>kN/m</t>
        </is>
      </c>
      <c r="F16" s="5" t="inlineStr">
        <is>
          <t>E_a1 = 0.5 * γ_đ * H^2 * K_a</t>
        </is>
      </c>
    </row>
    <row r="17">
      <c r="A17" s="4" t="inlineStr">
        <is>
          <t>13</t>
        </is>
      </c>
      <c r="B17" s="5" t="inlineStr">
        <is>
          <t>Áp lực đất chủ động nằm ngang do hoạt tải q_0 (E_a2)</t>
        </is>
      </c>
      <c r="C17" s="4" t="inlineStr">
        <is>
          <t>E_a2</t>
        </is>
      </c>
      <c r="D17" s="9">
        <f>ROUND(D11*D5*D14,1)</f>
        <v/>
      </c>
      <c r="E17" s="4" t="inlineStr">
        <is>
          <t>kN/m</t>
        </is>
      </c>
      <c r="F17" s="5" t="inlineStr">
        <is>
          <t>E_a2 = q_0 * H * K_a</t>
        </is>
      </c>
    </row>
    <row r="18">
      <c r="A18" s="4" t="inlineStr">
        <is>
          <t>14</t>
        </is>
      </c>
      <c r="B18" s="5" t="inlineStr">
        <is>
          <t>Tổng lực đẩy ngang tác dụng lên tường (E_x = E_a1 + E_a2)</t>
        </is>
      </c>
      <c r="C18" s="4" t="inlineStr">
        <is>
          <t>E_x</t>
        </is>
      </c>
      <c r="D18" s="9">
        <f>D16+D17</f>
        <v/>
      </c>
      <c r="E18" s="4" t="inlineStr">
        <is>
          <t>kN/m</t>
        </is>
      </c>
      <c r="F18" s="5" t="inlineStr">
        <is>
          <t>Tổng lực gây trượt và gây lật</t>
        </is>
      </c>
    </row>
    <row r="19">
      <c r="A19" s="4" t="inlineStr">
        <is>
          <t>15</t>
        </is>
      </c>
      <c r="B19" s="5" t="inlineStr">
        <is>
          <t>Mô men giữ chống lật quanh mũi tường O (M_giữ)</t>
        </is>
      </c>
      <c r="C19" s="4" t="inlineStr">
        <is>
          <t>M_giữ</t>
        </is>
      </c>
      <c r="D19" s="9">
        <f>ROUND(D15*(0.55*D7),1)</f>
        <v/>
      </c>
      <c r="E19" s="4" t="inlineStr">
        <is>
          <t>kN.m/m</t>
        </is>
      </c>
      <c r="F19" s="5" t="inlineStr">
        <is>
          <t>Cánh tay đòn trọng tâm hình thang ~ 0.55*B</t>
        </is>
      </c>
    </row>
    <row r="20">
      <c r="A20" s="4" t="inlineStr">
        <is>
          <t>16</t>
        </is>
      </c>
      <c r="B20" s="5" t="inlineStr">
        <is>
          <t>Mô men gây lật quanh mũi tường O (M_lật)</t>
        </is>
      </c>
      <c r="C20" s="4" t="inlineStr">
        <is>
          <t>M_lật</t>
        </is>
      </c>
      <c r="D20" s="9">
        <f>ROUND(D16*(D5/3)+D17*(D5/2),1)</f>
        <v/>
      </c>
      <c r="E20" s="4" t="inlineStr">
        <is>
          <t>kN.m/m</t>
        </is>
      </c>
      <c r="F20" s="5" t="inlineStr">
        <is>
          <t>M_lật = E_a1*(H/3) + E_a2*(H/2)</t>
        </is>
      </c>
    </row>
    <row r="21">
      <c r="A21" s="4" t="inlineStr">
        <is>
          <t>17</t>
        </is>
      </c>
      <c r="B21" s="5" t="inlineStr">
        <is>
          <t>HỆ SỐ AN TOÀN CHỐNG TRƯỢT PHẲNG (K_trượt &gt;= 1.50)</t>
        </is>
      </c>
      <c r="C21" s="4" t="inlineStr">
        <is>
          <t>K_trượt</t>
        </is>
      </c>
      <c r="D21" s="10">
        <f>ROUND((D15*D12)/D18,2)</f>
        <v/>
      </c>
      <c r="E21" s="4" t="inlineStr">
        <is>
          <t>-</t>
        </is>
      </c>
      <c r="F21" s="5" t="inlineStr">
        <is>
          <t>K_trượt = (G_t * μ) / E_x</t>
        </is>
      </c>
    </row>
    <row r="22">
      <c r="A22" s="4" t="inlineStr">
        <is>
          <t>18</t>
        </is>
      </c>
      <c r="B22" s="5" t="inlineStr">
        <is>
          <t>HỆ SỐ AN TOÀN CHỐNG LẬT QUANH MŨI TƯỜNG (K_lật &gt;= 1.80)</t>
        </is>
      </c>
      <c r="C22" s="4" t="inlineStr">
        <is>
          <t>K_lật</t>
        </is>
      </c>
      <c r="D22" s="10">
        <f>ROUND(D19/D20,2)</f>
        <v/>
      </c>
      <c r="E22" s="4" t="inlineStr">
        <is>
          <t>-</t>
        </is>
      </c>
      <c r="F22" s="5" t="inlineStr">
        <is>
          <t>K_lật = M_giữ / M_lật</t>
        </is>
      </c>
    </row>
    <row r="23">
      <c r="A23" s="4" t="inlineStr">
        <is>
          <t>19</t>
        </is>
      </c>
      <c r="B23" s="5" t="inlineStr">
        <is>
          <t>Độ lệch tâm hợp lực tại đáy móng (e_0 &lt;= B/6)</t>
        </is>
      </c>
      <c r="C23" s="4" t="inlineStr">
        <is>
          <t>e_0</t>
        </is>
      </c>
      <c r="D23" s="8">
        <f>ROUND(D7/2-(D19-D20)/D15,3)</f>
        <v/>
      </c>
      <c r="E23" s="4" t="inlineStr">
        <is>
          <t>m</t>
        </is>
      </c>
      <c r="F23" s="5" t="inlineStr">
        <is>
          <t>Kiểm tra điều kiện không xuất hiện ứng suất kéo</t>
        </is>
      </c>
    </row>
    <row r="24">
      <c r="A24" s="4" t="inlineStr">
        <is>
          <t>20</t>
        </is>
      </c>
      <c r="B24" s="5" t="inlineStr">
        <is>
          <t>Ứng suất lớn nhất tại mép mũi móng (σ_max &lt;= 1.2*R_tc)</t>
        </is>
      </c>
      <c r="C24" s="4" t="inlineStr">
        <is>
          <t>σ_max</t>
        </is>
      </c>
      <c r="D24" s="9">
        <f>ROUND((D15/D7)*(1+6*ABS(D23)/D7),1)</f>
        <v/>
      </c>
      <c r="E24" s="4" t="inlineStr">
        <is>
          <t>kPa</t>
        </is>
      </c>
      <c r="F24" s="5" t="inlineStr">
        <is>
          <t>σ_max = (N/B) * (1 + 6*e_0/B)</t>
        </is>
      </c>
    </row>
    <row r="25">
      <c r="A25" s="4" t="inlineStr">
        <is>
          <t>21</t>
        </is>
      </c>
      <c r="B25" s="5" t="inlineStr">
        <is>
          <t>KẾT LUẬN TỔNG HỢP KIỂM TOÁN ỔN ĐỊNH TƯỜNG CHẮN</t>
        </is>
      </c>
      <c r="C25" s="4" t="inlineStr">
        <is>
          <t>KL</t>
        </is>
      </c>
      <c r="D25" s="11">
        <f>IF(AND(D21&gt;=1.5,D22&gt;=1.8,D24&lt;=1.2*D13),"ĐẠT TOÀN BỘ 3 ĐIỀU KIỆN (TRƯỢT, LẬT, NỀN)","KHÔNG ĐẠT - CẦN MỞ RỘNG ĐÁY B")</f>
        <v/>
      </c>
      <c r="E25" s="4" t="inlineStr">
        <is>
          <t>-</t>
        </is>
      </c>
      <c r="F25" s="5" t="inlineStr">
        <is>
          <t>Theo TCVN 11823:2017 &amp; TCCS 13:2016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2026-10-21T01:12:23Z</dcterms:created>
  <dcterms:modified xmlns:dcterms="http://purl.org/dc/terms/" xmlns:xsi="http://www.w3.org/2001/XMLSchema-instance" xsi:type="dcterms:W3CDTF">2026-10-21T01:12:23Z</dcterms:modified>
</cp:coreProperties>
</file>
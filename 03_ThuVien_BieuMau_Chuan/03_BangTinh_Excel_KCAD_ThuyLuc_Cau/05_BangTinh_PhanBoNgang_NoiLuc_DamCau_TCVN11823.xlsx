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B_Ngang_NoiLuc_DamCau_HL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6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FFFFFF"/>
      <sz val="12"/>
    </font>
    <font>
      <name val="Times New Roman"/>
      <b val="1"/>
      <color rgb="00003366"/>
      <sz val="11"/>
    </font>
    <font>
      <name val="Times New Roman"/>
      <b val="1"/>
      <color rgb="000000CC"/>
      <sz val="11"/>
    </font>
    <font>
      <name val="Times New Roman"/>
      <b val="1"/>
      <color rgb="00990000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166" fontId="5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BẢNG TÍNH HỆ SỐ PHÂN BỐ NGANG VÀ NỘI LỰC DẦM CẦU GIẢN ĐƠN (TCVN 11823:2017 - HL93)</t>
        </is>
      </c>
    </row>
    <row r="3">
      <c r="A3" s="2" t="inlineStr">
        <is>
          <t>I. THÔNG SỐ HÌNH HỌC NHỊP CẦU VÀ TIẾT DIỆN DẦM CHỦ</t>
        </is>
      </c>
      <c r="B3" s="2" t="n"/>
      <c r="C3" s="2" t="n"/>
      <c r="D3" s="2" t="n"/>
      <c r="E3" s="2" t="n"/>
      <c r="F3" s="2" t="n"/>
    </row>
    <row r="4">
      <c r="A4" s="3" t="inlineStr">
        <is>
          <t>TT</t>
        </is>
      </c>
      <c r="B4" s="3" t="inlineStr">
        <is>
          <t>Thông số thiết kế kết cấu nhịp cầu</t>
        </is>
      </c>
      <c r="C4" s="3" t="inlineStr">
        <is>
          <t>Ký hiệu</t>
        </is>
      </c>
      <c r="D4" s="3" t="inlineStr">
        <is>
          <t>Giá trị</t>
        </is>
      </c>
      <c r="E4" s="3" t="inlineStr">
        <is>
          <t>Đơn vị</t>
        </is>
      </c>
      <c r="F4" s="3" t="inlineStr">
        <is>
          <t>Căn cứ TCVN 11823:2017</t>
        </is>
      </c>
    </row>
    <row r="5">
      <c r="A5" s="4" t="inlineStr">
        <is>
          <t>1</t>
        </is>
      </c>
      <c r="B5" s="5" t="inlineStr">
        <is>
          <t>Chiều dài toàn dầm chủ (L_dầm)</t>
        </is>
      </c>
      <c r="C5" s="4" t="inlineStr">
        <is>
          <t>L_dầm</t>
        </is>
      </c>
      <c r="D5" s="6" t="n">
        <v>33</v>
      </c>
      <c r="E5" s="4" t="inlineStr">
        <is>
          <t>m</t>
        </is>
      </c>
      <c r="F5" s="5" t="inlineStr">
        <is>
          <t>Dầm I33 (33m) hoặc Super-T (38.2m / 40m)</t>
        </is>
      </c>
    </row>
    <row r="6">
      <c r="A6" s="4" t="inlineStr">
        <is>
          <t>2</t>
        </is>
      </c>
      <c r="B6" s="5" t="inlineStr">
        <is>
          <t>Chiều dài nhịp tính toán giữa 2 tim gối cầu (L_tt)</t>
        </is>
      </c>
      <c r="C6" s="4" t="inlineStr">
        <is>
          <t>L_tt</t>
        </is>
      </c>
      <c r="D6" s="6" t="n">
        <v>32.1</v>
      </c>
      <c r="E6" s="4" t="inlineStr">
        <is>
          <t>m</t>
        </is>
      </c>
      <c r="F6" s="5" t="inlineStr">
        <is>
          <t>L_tt = L_dầm - 2 * a_gối</t>
        </is>
      </c>
    </row>
    <row r="7">
      <c r="A7" s="4" t="inlineStr">
        <is>
          <t>3</t>
        </is>
      </c>
      <c r="B7" s="5" t="inlineStr">
        <is>
          <t>Khoảng cách giữa các tim dầm chủ (S)</t>
        </is>
      </c>
      <c r="C7" s="4" t="inlineStr">
        <is>
          <t>S</t>
        </is>
      </c>
      <c r="D7" s="6" t="n">
        <v>2.25</v>
      </c>
      <c r="E7" s="4" t="inlineStr">
        <is>
          <t>m</t>
        </is>
      </c>
      <c r="F7" s="5" t="inlineStr">
        <is>
          <t>Dầm I33: S = 2.0÷2.4m; Super-T: S = 2.1÷2.5m</t>
        </is>
      </c>
    </row>
    <row r="8">
      <c r="A8" s="4" t="inlineStr">
        <is>
          <t>4</t>
        </is>
      </c>
      <c r="B8" s="5" t="inlineStr">
        <is>
          <t>Chiều dày bản mặt cầu BTCT đổ tại chỗ (t_s)</t>
        </is>
      </c>
      <c r="C8" s="4" t="inlineStr">
        <is>
          <t>t_s</t>
        </is>
      </c>
      <c r="D8" s="7" t="n">
        <v>200</v>
      </c>
      <c r="E8" s="4" t="inlineStr">
        <is>
          <t>mm</t>
        </is>
      </c>
      <c r="F8" s="5" t="inlineStr">
        <is>
          <t>Thông thường t_s = 180mm ÷ 200mm</t>
        </is>
      </c>
    </row>
    <row r="9">
      <c r="A9" s="4" t="inlineStr">
        <is>
          <t>5</t>
        </is>
      </c>
      <c r="B9" s="5" t="inlineStr">
        <is>
          <t>Chiều dài phần cánh hẫng bản mặt cầu tính từ tim dầm biên (d_e)</t>
        </is>
      </c>
      <c r="C9" s="4" t="inlineStr">
        <is>
          <t>d_e</t>
        </is>
      </c>
      <c r="D9" s="6" t="n">
        <v>0.75</v>
      </c>
      <c r="E9" s="4" t="inlineStr">
        <is>
          <t>m</t>
        </is>
      </c>
      <c r="F9" s="5" t="inlineStr">
        <is>
          <t>Từ tim dầm biên đến mép trong gờ chắn bánh</t>
        </is>
      </c>
    </row>
    <row r="10">
      <c r="A10" s="4" t="inlineStr">
        <is>
          <t>6</t>
        </is>
      </c>
      <c r="B10" s="5" t="inlineStr">
        <is>
          <t>Tham số độ cứng dọc quy đổi (K_g / (L*t_s^3))</t>
        </is>
      </c>
      <c r="C10" s="4" t="inlineStr">
        <is>
          <t>K_g_ratio</t>
        </is>
      </c>
      <c r="D10" s="6" t="n">
        <v>1.05</v>
      </c>
      <c r="E10" s="4" t="inlineStr">
        <is>
          <t>-</t>
        </is>
      </c>
      <c r="F10" s="5" t="inlineStr">
        <is>
          <t>Theo Bảng 21 - Phần 4 TCVN 11823:2017 (lấy sơ bộ 1.05)</t>
        </is>
      </c>
    </row>
    <row r="11">
      <c r="A11" s="4" t="inlineStr">
        <is>
          <t>7</t>
        </is>
      </c>
      <c r="B11" s="5" t="inlineStr">
        <is>
          <t>Hệ số xung kích của hoạt tải xe tải/xe hai trục (1 + IM)</t>
        </is>
      </c>
      <c r="C11" s="4" t="inlineStr">
        <is>
          <t>1 + IM</t>
        </is>
      </c>
      <c r="D11" s="6" t="n">
        <v>1.33</v>
      </c>
      <c r="E11" s="4" t="inlineStr">
        <is>
          <t>-</t>
        </is>
      </c>
      <c r="F11" s="5" t="inlineStr">
        <is>
          <t>IM = 33% ở TTGH Cường độ I; IM = 15% ở TTGH Mỏi</t>
        </is>
      </c>
    </row>
    <row r="12">
      <c r="A12" s="4" t="inlineStr">
        <is>
          <t>8</t>
        </is>
      </c>
      <c r="B12" s="5" t="inlineStr">
        <is>
          <t>Tải trọng tĩnh tải giai đoạn 1 (dầm + bản mặt cầu + dầm ngang) (g_DC1)</t>
        </is>
      </c>
      <c r="C12" s="4" t="inlineStr">
        <is>
          <t>g_DC1</t>
        </is>
      </c>
      <c r="D12" s="7" t="n">
        <v>28.5</v>
      </c>
      <c r="E12" s="4" t="inlineStr">
        <is>
          <t>kN/m</t>
        </is>
      </c>
      <c r="F12" s="5" t="inlineStr">
        <is>
          <t>Tĩnh tải tác dụng lên tiết diện dầm giản đơn</t>
        </is>
      </c>
    </row>
    <row r="13">
      <c r="A13" s="4" t="inlineStr">
        <is>
          <t>9</t>
        </is>
      </c>
      <c r="B13" s="5" t="inlineStr">
        <is>
          <t>Tĩnh tải giai đoạn 2 (lan can, gờ chắn) phân cho 1 dầm (g_DC2)</t>
        </is>
      </c>
      <c r="C13" s="4" t="inlineStr">
        <is>
          <t>g_DC2</t>
        </is>
      </c>
      <c r="D13" s="7" t="n">
        <v>4.2</v>
      </c>
      <c r="E13" s="4" t="inlineStr">
        <is>
          <t>kN/m</t>
        </is>
      </c>
      <c r="F13" s="5" t="inlineStr">
        <is>
          <t>Tác dụng lên tiết diện liên hợp</t>
        </is>
      </c>
    </row>
    <row r="14">
      <c r="A14" s="4" t="inlineStr">
        <is>
          <t>10</t>
        </is>
      </c>
      <c r="B14" s="5" t="inlineStr">
        <is>
          <t>Tĩnh tải lớp phủ mặt cầu BTN + phòng nước cho 1 dầm (g_DW)</t>
        </is>
      </c>
      <c r="C14" s="4" t="inlineStr">
        <is>
          <t>g_DW</t>
        </is>
      </c>
      <c r="D14" s="7" t="n">
        <v>5.4</v>
      </c>
      <c r="E14" s="4" t="inlineStr">
        <is>
          <t>kN/m</t>
        </is>
      </c>
      <c r="F14" s="5" t="inlineStr">
        <is>
          <t>Hệ số tải trọng γ_DW = 1.50 ở TTGH CĐ I</t>
        </is>
      </c>
    </row>
    <row r="15">
      <c r="A15" s="4" t="inlineStr">
        <is>
          <t>11</t>
        </is>
      </c>
      <c r="B15" s="5" t="inlineStr">
        <is>
          <t>HS phân bố ngang Mô men cho DẦM GIỮA - 2 làn xe trở lên (g_M_giữa)</t>
        </is>
      </c>
      <c r="C15" s="4" t="inlineStr">
        <is>
          <t>g_M_giữa</t>
        </is>
      </c>
      <c r="D15" s="8">
        <f>ROUND(0.075+(D7/2.9)^0.6*(D7/D6)^0.2*D10^0.1,3)</f>
        <v/>
      </c>
      <c r="E15" s="4" t="inlineStr">
        <is>
          <t>làn/dầm</t>
        </is>
      </c>
      <c r="F15" s="5" t="inlineStr">
        <is>
          <t>Công thức Bảng 21 - TCVN 11823-4:2017</t>
        </is>
      </c>
    </row>
    <row r="16">
      <c r="A16" s="4" t="inlineStr">
        <is>
          <t>12</t>
        </is>
      </c>
      <c r="B16" s="5" t="inlineStr">
        <is>
          <t>HS phân bố ngang Lực cắt cho DẦM GIỮA - 2 làn xe trở lên (g_V_giữa)</t>
        </is>
      </c>
      <c r="C16" s="4" t="inlineStr">
        <is>
          <t>g_V_giữa</t>
        </is>
      </c>
      <c r="D16" s="8">
        <f>ROUND(0.20+(D7/3.6)-(D7/10.7)^2,3)</f>
        <v/>
      </c>
      <c r="E16" s="4" t="inlineStr">
        <is>
          <t>làn/dầm</t>
        </is>
      </c>
      <c r="F16" s="5" t="inlineStr">
        <is>
          <t>Công thức Bảng 25 - TCVN 11823-4:2017</t>
        </is>
      </c>
    </row>
    <row r="17">
      <c r="A17" s="4" t="inlineStr">
        <is>
          <t>13</t>
        </is>
      </c>
      <c r="B17" s="5" t="inlineStr">
        <is>
          <t>Hệ số hiệu chỉnh dầm biên cho mô men (e_M = 0.77 + d_e/2.8)</t>
        </is>
      </c>
      <c r="C17" s="4" t="inlineStr">
        <is>
          <t>e_M</t>
        </is>
      </c>
      <c r="D17" s="8">
        <f>ROUND(0.77+D9/2.8,3)</f>
        <v/>
      </c>
      <c r="E17" s="4" t="inlineStr">
        <is>
          <t>-</t>
        </is>
      </c>
      <c r="F17" s="5" t="inlineStr">
        <is>
          <t>Dùng để nhân với g_M_giữa ra g_M_biên</t>
        </is>
      </c>
    </row>
    <row r="18">
      <c r="A18" s="4" t="inlineStr">
        <is>
          <t>14</t>
        </is>
      </c>
      <c r="B18" s="5" t="inlineStr">
        <is>
          <t>HS phân bố ngang Mô men tính toán lấy max (g_M_max)</t>
        </is>
      </c>
      <c r="C18" s="4" t="inlineStr">
        <is>
          <t>g_M_max</t>
        </is>
      </c>
      <c r="D18" s="8">
        <f>ROUND(MAX(D15, D15*D17),3)</f>
        <v/>
      </c>
      <c r="E18" s="4" t="inlineStr">
        <is>
          <t>làn/dầm</t>
        </is>
      </c>
      <c r="F18" s="5" t="inlineStr">
        <is>
          <t>Lấy giá trị bất lợi hơn giữa dầm giữa và dầm biên</t>
        </is>
      </c>
    </row>
    <row r="19">
      <c r="A19" s="4" t="inlineStr">
        <is>
          <t>15</t>
        </is>
      </c>
      <c r="B19" s="5" t="inlineStr">
        <is>
          <t>Mô men uốn lớn nhất giữa nhịp do Xe tải thiết kế 3 trục (M_Truck)</t>
        </is>
      </c>
      <c r="C19" s="4" t="inlineStr">
        <is>
          <t>M_Truck</t>
        </is>
      </c>
      <c r="D19" s="9">
        <f>ROUND(325*(D6/4-1.75)+145*0.35,1)</f>
        <v/>
      </c>
      <c r="E19" s="4" t="inlineStr">
        <is>
          <t>kN.m/làn</t>
        </is>
      </c>
      <c r="F19" s="5" t="inlineStr">
        <is>
          <t>Xe tải 3 trục: 35kN - 145kN - 145kN (cách 4.3m)</t>
        </is>
      </c>
    </row>
    <row r="20">
      <c r="A20" s="4" t="inlineStr">
        <is>
          <t>16</t>
        </is>
      </c>
      <c r="B20" s="5" t="inlineStr">
        <is>
          <t>Mô men uốn lớn nhất giữa nhịp do Tải trọng làn 9.3 kN/m (M_Lane)</t>
        </is>
      </c>
      <c r="C20" s="4" t="inlineStr">
        <is>
          <t>M_Lane</t>
        </is>
      </c>
      <c r="D20" s="9">
        <f>ROUND(9.3*D6^2/8,1)</f>
        <v/>
      </c>
      <c r="E20" s="4" t="inlineStr">
        <is>
          <t>kN.m/làn</t>
        </is>
      </c>
      <c r="F20" s="5" t="inlineStr">
        <is>
          <t>M_Lane = q_lane * L_tt^2 / 8</t>
        </is>
      </c>
    </row>
    <row r="21">
      <c r="A21" s="4" t="inlineStr">
        <is>
          <t>17</t>
        </is>
      </c>
      <c r="B21" s="5" t="inlineStr">
        <is>
          <t>Mô men hoạt tải HL93 tiêu chuẩn cho 1 dầm chủ (M_LL+IM)</t>
        </is>
      </c>
      <c r="C21" s="4" t="inlineStr">
        <is>
          <t>M_LL+IM</t>
        </is>
      </c>
      <c r="D21" s="9">
        <f>ROUND(D18*(D19*D11+D20),1)</f>
        <v/>
      </c>
      <c r="E21" s="4" t="inlineStr">
        <is>
          <t>kN.m</t>
        </is>
      </c>
      <c r="F21" s="5" t="inlineStr">
        <is>
          <t>M_LL+IM = g_M * (M_Truck*(1+IM) + M_Lane)</t>
        </is>
      </c>
    </row>
    <row r="22">
      <c r="A22" s="4" t="inlineStr">
        <is>
          <t>18</t>
        </is>
      </c>
      <c r="B22" s="5" t="inlineStr">
        <is>
          <t>Mô men tĩnh tải tiêu chuẩn tại giữa nhịp (M_DC + M_DW)</t>
        </is>
      </c>
      <c r="C22" s="4" t="inlineStr">
        <is>
          <t>M_tĩnh</t>
        </is>
      </c>
      <c r="D22" s="9">
        <f>ROUND((D12+D13+D14)*D6^2/8,1)</f>
        <v/>
      </c>
      <c r="E22" s="4" t="inlineStr">
        <is>
          <t>kN.m</t>
        </is>
      </c>
      <c r="F22" s="5" t="inlineStr">
        <is>
          <t>Tổng mô men tiêu chuẩn ở TTGH Sử dụng</t>
        </is>
      </c>
    </row>
    <row r="23">
      <c r="A23" s="4" t="inlineStr">
        <is>
          <t>19</t>
        </is>
      </c>
      <c r="B23" s="5" t="inlineStr">
        <is>
          <t>TỔNG MÔ MEN TÍNH TOÁN Ở TTGH CƯỜNG ĐỘ I (M_u)</t>
        </is>
      </c>
      <c r="C23" s="4" t="inlineStr">
        <is>
          <t>M_u</t>
        </is>
      </c>
      <c r="D23" s="9">
        <f>ROUND(1.25*(D12+D13)*D6^2/8 + 1.50*D14*D6^2/8 + 1.75*D21,1)</f>
        <v/>
      </c>
      <c r="E23" s="4" t="inlineStr">
        <is>
          <t>kN.m</t>
        </is>
      </c>
      <c r="F23" s="5" t="inlineStr">
        <is>
          <t>M_u = 1.25*M_DC + 1.50*M_DW + 1.75*M_(LL+IM)</t>
        </is>
      </c>
    </row>
    <row r="24">
      <c r="A24" s="4" t="inlineStr">
        <is>
          <t>20</t>
        </is>
      </c>
      <c r="B24" s="5" t="inlineStr">
        <is>
          <t>TỔNG MÔ MEN TIÊU CHUẨN Ở TTGH SỬ DỤNG I (M_s)</t>
        </is>
      </c>
      <c r="C24" s="4" t="inlineStr">
        <is>
          <t>M_s</t>
        </is>
      </c>
      <c r="D24" s="9">
        <f>ROUND(D22 + 1.0*D21,1)</f>
        <v/>
      </c>
      <c r="E24" s="4" t="inlineStr">
        <is>
          <t>kN.m</t>
        </is>
      </c>
      <c r="F24" s="5" t="inlineStr">
        <is>
          <t>M_s = 1.0*M_DC + 1.0*M_DW + 1.0*M_(LL+IM)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2026-10-21T01:12:23Z</dcterms:created>
  <dcterms:modified xmlns:dcterms="http://purl.org/dc/terms/" xmlns:xsi="http://www.w3.org/2001/XMLSchema-instance" xsi:type="dcterms:W3CDTF">2026-10-21T01:12:23Z</dcterms:modified>
</cp:coreProperties>
</file>